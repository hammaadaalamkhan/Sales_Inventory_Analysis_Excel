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tisham Aziz\Desktop\Projects\Excel &amp; Power BI\Sales_Inventory_Analysis_Excel\data\"/>
    </mc:Choice>
  </mc:AlternateContent>
  <xr:revisionPtr revIDLastSave="0" documentId="13_ncr:1_{C8084A8A-469D-487D-87F6-E6FB3F3161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2" i="1"/>
  <c r="J3" i="1"/>
  <c r="J4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<sst xmlns="http://schemas.openxmlformats.org/spreadsheetml/2006/main" count="203" uniqueCount="45">
  <si>
    <t>Date</t>
  </si>
  <si>
    <t>Product</t>
  </si>
  <si>
    <t>Category</t>
  </si>
  <si>
    <t>Units Sold</t>
  </si>
  <si>
    <t>Unit Price</t>
  </si>
  <si>
    <t>Stock Level</t>
  </si>
  <si>
    <t>Supplier</t>
  </si>
  <si>
    <t>IKEA Markus Chair</t>
  </si>
  <si>
    <t>Furniture</t>
  </si>
  <si>
    <t>IKEA Lack Table</t>
  </si>
  <si>
    <t>Philips Hue White Lamp</t>
  </si>
  <si>
    <t>Lighting</t>
  </si>
  <si>
    <t>Philips</t>
  </si>
  <si>
    <t>Höffner Sofa Monaco</t>
  </si>
  <si>
    <t>Höffner</t>
  </si>
  <si>
    <t>IKEA Malm Bed Frame</t>
  </si>
  <si>
    <t>Eglo Pendulum Lamp</t>
  </si>
  <si>
    <t>Eglo</t>
  </si>
  <si>
    <t>IKEA Poäng Chair</t>
  </si>
  <si>
    <t>Höffner Dining Table Luna</t>
  </si>
  <si>
    <t>Philips LED Desk Lamp</t>
  </si>
  <si>
    <t>IKEA Kallax Shelf</t>
  </si>
  <si>
    <t>Eglo Wall Lamp Luminex</t>
  </si>
  <si>
    <t>Höffner Sofa Berlin</t>
  </si>
  <si>
    <t>IKEA Brimnes Wardrobe</t>
  </si>
  <si>
    <t>Philips Hue Color Lamp</t>
  </si>
  <si>
    <t>Höffner Coffee Table Nero</t>
  </si>
  <si>
    <t>IKEA Hemnes Dresser</t>
  </si>
  <si>
    <t>Eglo Ceiling Lamp Orion</t>
  </si>
  <si>
    <t>IKEA Fjällbo TV Bench</t>
  </si>
  <si>
    <t>Höffner Armchair Siena</t>
  </si>
  <si>
    <t>Philips LED Floor Lamp</t>
  </si>
  <si>
    <t>IKEA Lack Coffee Table</t>
  </si>
  <si>
    <t>Höffner Wardrobe Verona</t>
  </si>
  <si>
    <t>Eglo Desk Lamp Delta</t>
  </si>
  <si>
    <t>Philips Hue Outdoor Lamp</t>
  </si>
  <si>
    <t>Eglo Pendant Lamp Lux</t>
  </si>
  <si>
    <t>Total Sales</t>
  </si>
  <si>
    <t>Stock Status</t>
  </si>
  <si>
    <t>IKEA</t>
  </si>
  <si>
    <t>Month</t>
  </si>
  <si>
    <t>Row Labels</t>
  </si>
  <si>
    <t>Grand Total</t>
  </si>
  <si>
    <t>Sum of Total Sales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</si>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</sst>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[$€-2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4">
    <dxf>
      <numFmt numFmtId="164" formatCode="[$€-2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€-2]\ #,##0.00"/>
    </dxf>
    <dxf>
      <numFmt numFmtId="19" formatCode="dd/mm/yyyy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[Sales_Inventory_with_Pivottables.xlsx]Sheet1!PivotTable1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Sheet1!$A$56:$A$83</c:f>
              <c:multiLvlStrCache>
                <c:ptCount val="25"/>
                <c:lvl>
                  <c:pt idx="0">
                    <c:v>Höffner Armchair Siena</c:v>
                  </c:pt>
                  <c:pt idx="1">
                    <c:v>Höffner Coffee Table Nero</c:v>
                  </c:pt>
                  <c:pt idx="2">
                    <c:v>Höffner Dining Table Luna</c:v>
                  </c:pt>
                  <c:pt idx="3">
                    <c:v>Höffner Sofa Berlin</c:v>
                  </c:pt>
                  <c:pt idx="4">
                    <c:v>Höffner Sofa Monaco</c:v>
                  </c:pt>
                  <c:pt idx="5">
                    <c:v>Höffner Wardrobe Verona</c:v>
                  </c:pt>
                  <c:pt idx="6">
                    <c:v>IKEA Brimnes Wardrobe</c:v>
                  </c:pt>
                  <c:pt idx="7">
                    <c:v>IKEA Fjällbo TV Bench</c:v>
                  </c:pt>
                  <c:pt idx="8">
                    <c:v>IKEA Hemnes Dresser</c:v>
                  </c:pt>
                  <c:pt idx="9">
                    <c:v>IKEA Kallax Shelf</c:v>
                  </c:pt>
                  <c:pt idx="10">
                    <c:v>IKEA Lack Coffee Table</c:v>
                  </c:pt>
                  <c:pt idx="11">
                    <c:v>IKEA Lack Table</c:v>
                  </c:pt>
                  <c:pt idx="12">
                    <c:v>IKEA Malm Bed Frame</c:v>
                  </c:pt>
                  <c:pt idx="13">
                    <c:v>IKEA Markus Chair</c:v>
                  </c:pt>
                  <c:pt idx="14">
                    <c:v>IKEA Poäng Chair</c:v>
                  </c:pt>
                  <c:pt idx="15">
                    <c:v>Eglo Ceiling Lamp Orion</c:v>
                  </c:pt>
                  <c:pt idx="16">
                    <c:v>Eglo Desk Lamp Delta</c:v>
                  </c:pt>
                  <c:pt idx="17">
                    <c:v>Eglo Pendant Lamp Lux</c:v>
                  </c:pt>
                  <c:pt idx="18">
                    <c:v>Eglo Pendulum Lamp</c:v>
                  </c:pt>
                  <c:pt idx="19">
                    <c:v>Eglo Wall Lamp Luminex</c:v>
                  </c:pt>
                  <c:pt idx="20">
                    <c:v>Philips Hue Color Lamp</c:v>
                  </c:pt>
                  <c:pt idx="21">
                    <c:v>Philips Hue Outdoor Lamp</c:v>
                  </c:pt>
                  <c:pt idx="22">
                    <c:v>Philips Hue White Lamp</c:v>
                  </c:pt>
                  <c:pt idx="23">
                    <c:v>Philips LED Desk Lamp</c:v>
                  </c:pt>
                  <c:pt idx="24">
                    <c:v>Philips LED Floor Lamp</c:v>
                  </c:pt>
                </c:lvl>
                <c:lvl>
                  <c:pt idx="0">
                    <c:v>Furniture</c:v>
                  </c:pt>
                  <c:pt idx="15">
                    <c:v>Lighting</c:v>
                  </c:pt>
                </c:lvl>
              </c:multiLvlStrCache>
            </c:multiLvlStrRef>
          </c:cat>
          <c:val>
            <c:numRef>
              <c:f>Sheet1!$B$56:$B$83</c:f>
              <c:numCache>
                <c:formatCode>General</c:formatCode>
                <c:ptCount val="25"/>
                <c:pt idx="0">
                  <c:v>4</c:v>
                </c:pt>
                <c:pt idx="1">
                  <c:v>9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14</c:v>
                </c:pt>
                <c:pt idx="10">
                  <c:v>11</c:v>
                </c:pt>
                <c:pt idx="11">
                  <c:v>3</c:v>
                </c:pt>
                <c:pt idx="12">
                  <c:v>12</c:v>
                </c:pt>
                <c:pt idx="13">
                  <c:v>5</c:v>
                </c:pt>
                <c:pt idx="14">
                  <c:v>14</c:v>
                </c:pt>
                <c:pt idx="15">
                  <c:v>10</c:v>
                </c:pt>
                <c:pt idx="16">
                  <c:v>10</c:v>
                </c:pt>
                <c:pt idx="17">
                  <c:v>11</c:v>
                </c:pt>
                <c:pt idx="18">
                  <c:v>6</c:v>
                </c:pt>
                <c:pt idx="19">
                  <c:v>10</c:v>
                </c:pt>
                <c:pt idx="20">
                  <c:v>11</c:v>
                </c:pt>
                <c:pt idx="21">
                  <c:v>5</c:v>
                </c:pt>
                <c:pt idx="22">
                  <c:v>13</c:v>
                </c:pt>
                <c:pt idx="23">
                  <c:v>10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4-45FE-A2B5-A4A1BE00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841599"/>
        <c:axId val="457842079"/>
      </c:barChart>
      <c:catAx>
        <c:axId val="45784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42079"/>
        <c:crosses val="autoZero"/>
        <c:auto val="1"/>
        <c:lblAlgn val="ctr"/>
        <c:lblOffset val="100"/>
        <c:noMultiLvlLbl val="0"/>
      </c:catAx>
      <c:valAx>
        <c:axId val="45784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4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[Sales_Inventory_with_Pivottables.xlsx]Sheet1!PivotTable2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Sheet1!$D$88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Sheet1!$C$89:$C$91</c:f>
              <c:strCache>
                <c:ptCount val="2"/>
                <c:pt idx="0">
                  <c:v>Furniture</c:v>
                </c:pt>
                <c:pt idx="1">
                  <c:v>Lighting</c:v>
                </c:pt>
              </c:strCache>
            </c:strRef>
          </c:cat>
          <c:val>
            <c:numRef>
              <c:f>Sheet1!$D$89:$D$91</c:f>
              <c:numCache>
                <c:formatCode>[$€-2]\ #,##0.00</c:formatCode>
                <c:ptCount val="2"/>
                <c:pt idx="0">
                  <c:v>20655</c:v>
                </c:pt>
                <c:pt idx="1">
                  <c:v>6175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F-4908-80E6-1148B9B90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[Sales_Inventory_with_Pivottables.xlsx]Sheet1!PivotTable3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Sheet1!$G$88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Sheet1!$F$89:$F$91</c:f>
              <c:strCache>
                <c:ptCount val="2"/>
                <c:pt idx="0">
                  <c:v>Furniture</c:v>
                </c:pt>
                <c:pt idx="1">
                  <c:v>Lighting</c:v>
                </c:pt>
              </c:strCache>
            </c:strRef>
          </c:cat>
          <c:val>
            <c:numRef>
              <c:f>Sheet1!$G$89:$G$91</c:f>
              <c:numCache>
                <c:formatCode>General</c:formatCode>
                <c:ptCount val="2"/>
                <c:pt idx="0">
                  <c:v>115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F-420D-AB21-0614E308D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357188</xdr:colOff>
      <xdr:row>54</xdr:row>
      <xdr:rowOff>19843</xdr:rowOff>
    </xdr:from>
    <xdr:to>
      <xdr:col>10</xdr:col>
      <xdr:colOff>3968</xdr:colOff>
      <xdr:row>80</xdr:row>
      <xdr:rowOff>9922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6CF8A-A9F6-F101-F10C-F2EB382AA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1116949</xdr:colOff>
      <xdr:row>91</xdr:row>
      <xdr:rowOff>122115</xdr:rowOff>
    </xdr:from>
    <xdr:to>
      <xdr:col>4</xdr:col>
      <xdr:colOff>8141</xdr:colOff>
      <xdr:row>102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F7740E-E671-1768-2349-65173C8A5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9769</xdr:colOff>
      <xdr:row>91</xdr:row>
      <xdr:rowOff>110066</xdr:rowOff>
    </xdr:from>
    <xdr:to>
      <xdr:col>7</xdr:col>
      <xdr:colOff>8141</xdr:colOff>
      <xdr:row>102</xdr:row>
      <xdr:rowOff>56988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99DF5F-0DB6-03B5-8EF2-2F44E978B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maad Khan" refreshedDate="46106.070706018516" createdVersion="8" refreshedVersion="8" minRefreshableVersion="3" recordCount="51" xr:uid="{CF3BF7DD-C6E5-43C9-8677-56BAC1941A5F}">
  <cacheSource type="worksheet">
    <worksheetSource name="Table1"/>
  </cacheSource>
  <cacheFields count="12">
    <cacheField name="Date" numFmtId="14">
      <sharedItems containsSemiMixedTypes="0" containsNonDate="0" containsDate="1" containsString="0" minDate="2026-01-01T00:00:00" maxDate="2026-02-21T00:00:00" count="5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</sharedItems>
      <fieldGroup par="11"/>
    </cacheField>
    <cacheField name="Month" numFmtId="14">
      <sharedItems/>
    </cacheField>
    <cacheField name="Product" numFmtId="0">
      <sharedItems count="25">
        <s v="IKEA Markus Chair"/>
        <s v="IKEA Lack Table"/>
        <s v="Philips Hue White Lamp"/>
        <s v="Höffner Sofa Monaco"/>
        <s v="IKEA Malm Bed Frame"/>
        <s v="Eglo Pendulum Lamp"/>
        <s v="IKEA Poäng Chair"/>
        <s v="Höffner Dining Table Luna"/>
        <s v="Philips LED Desk Lamp"/>
        <s v="IKEA Kallax Shelf"/>
        <s v="Eglo Wall Lamp Luminex"/>
        <s v="Höffner Sofa Berlin"/>
        <s v="IKEA Brimnes Wardrobe"/>
        <s v="Philips Hue Color Lamp"/>
        <s v="Höffner Coffee Table Nero"/>
        <s v="IKEA Hemnes Dresser"/>
        <s v="Eglo Ceiling Lamp Orion"/>
        <s v="IKEA Fjällbo TV Bench"/>
        <s v="Höffner Armchair Siena"/>
        <s v="Philips LED Floor Lamp"/>
        <s v="IKEA Lack Coffee Table"/>
        <s v="Höffner Wardrobe Verona"/>
        <s v="Eglo Desk Lamp Delta"/>
        <s v="Philips Hue Outdoor Lamp"/>
        <s v="Eglo Pendant Lamp Lux"/>
      </sharedItems>
    </cacheField>
    <cacheField name="Category" numFmtId="0">
      <sharedItems count="2">
        <s v="Furniture"/>
        <s v="Lighting"/>
      </sharedItems>
    </cacheField>
    <cacheField name="Units Sold" numFmtId="0">
      <sharedItems containsSemiMixedTypes="0" containsString="0" containsNumber="1" containsInteger="1" minValue="2" maxValue="7"/>
    </cacheField>
    <cacheField name="Unit Price" numFmtId="164">
      <sharedItems containsSemiMixedTypes="0" containsString="0" containsNumber="1" containsInteger="1" minValue="29" maxValue="599"/>
    </cacheField>
    <cacheField name="Stock Level" numFmtId="0">
      <sharedItems containsSemiMixedTypes="0" containsString="0" containsNumber="1" containsInteger="1" minValue="6" maxValue="25" count="11">
        <n v="20"/>
        <n v="15"/>
        <n v="25"/>
        <n v="10"/>
        <n v="12"/>
        <n v="18"/>
        <n v="22"/>
        <n v="8"/>
        <n v="14"/>
        <n v="6"/>
        <n v="16"/>
      </sharedItems>
    </cacheField>
    <cacheField name="Supplier" numFmtId="0">
      <sharedItems/>
    </cacheField>
    <cacheField name="Total Sales" numFmtId="164">
      <sharedItems containsSemiMixedTypes="0" containsString="0" containsNumber="1" containsInteger="1" minValue="116" maxValue="1596"/>
    </cacheField>
    <cacheField name="Stock Status" numFmtId="0">
      <sharedItems count="2">
        <s v="OK"/>
        <s v="Low"/>
      </sharedItems>
    </cacheField>
    <cacheField name="Days (Date)" numFmtId="0" databaseField="0">
      <fieldGroup base="0">
        <rangePr groupBy="days" startDate="2026-01-01T00:00:00" endDate="2026-02-21T00:00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/02/2026"/>
        </groupItems>
      </fieldGroup>
    </cacheField>
    <cacheField name="Months (Date)" numFmtId="0" databaseField="0">
      <fieldGroup base="0">
        <rangePr groupBy="months" startDate="2026-01-01T00:00:00" endDate="2026-02-21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Jan"/>
    <x v="0"/>
    <x v="0"/>
    <n v="5"/>
    <n v="199"/>
    <x v="0"/>
    <s v="IKEA"/>
    <n v="995"/>
    <x v="0"/>
  </r>
  <r>
    <x v="1"/>
    <s v="Jan"/>
    <x v="1"/>
    <x v="0"/>
    <n v="3"/>
    <n v="39"/>
    <x v="1"/>
    <s v="IKEA"/>
    <n v="117"/>
    <x v="0"/>
  </r>
  <r>
    <x v="2"/>
    <s v="Jan"/>
    <x v="2"/>
    <x v="1"/>
    <n v="7"/>
    <n v="49"/>
    <x v="2"/>
    <s v="Philips"/>
    <n v="343"/>
    <x v="0"/>
  </r>
  <r>
    <x v="3"/>
    <s v="Jan"/>
    <x v="3"/>
    <x v="0"/>
    <n v="2"/>
    <n v="599"/>
    <x v="3"/>
    <s v="Höffner"/>
    <n v="1198"/>
    <x v="0"/>
  </r>
  <r>
    <x v="4"/>
    <s v="Jan"/>
    <x v="4"/>
    <x v="0"/>
    <n v="4"/>
    <n v="249"/>
    <x v="4"/>
    <s v="IKEA"/>
    <n v="996"/>
    <x v="0"/>
  </r>
  <r>
    <x v="5"/>
    <s v="Jan"/>
    <x v="5"/>
    <x v="1"/>
    <n v="6"/>
    <n v="79"/>
    <x v="5"/>
    <s v="Eglo"/>
    <n v="474"/>
    <x v="0"/>
  </r>
  <r>
    <x v="6"/>
    <s v="Jan"/>
    <x v="6"/>
    <x v="0"/>
    <n v="5"/>
    <n v="89"/>
    <x v="6"/>
    <s v="IKEA"/>
    <n v="445"/>
    <x v="0"/>
  </r>
  <r>
    <x v="7"/>
    <s v="Jan"/>
    <x v="7"/>
    <x v="0"/>
    <n v="3"/>
    <n v="349"/>
    <x v="1"/>
    <s v="Höffner"/>
    <n v="1047"/>
    <x v="0"/>
  </r>
  <r>
    <x v="8"/>
    <s v="Jan"/>
    <x v="8"/>
    <x v="1"/>
    <n v="4"/>
    <n v="29"/>
    <x v="0"/>
    <s v="Philips"/>
    <n v="116"/>
    <x v="0"/>
  </r>
  <r>
    <x v="9"/>
    <s v="Jan"/>
    <x v="9"/>
    <x v="0"/>
    <n v="6"/>
    <n v="69"/>
    <x v="5"/>
    <s v="IKEA"/>
    <n v="414"/>
    <x v="0"/>
  </r>
  <r>
    <x v="10"/>
    <s v="Jan"/>
    <x v="10"/>
    <x v="1"/>
    <n v="5"/>
    <n v="59"/>
    <x v="1"/>
    <s v="Eglo"/>
    <n v="295"/>
    <x v="0"/>
  </r>
  <r>
    <x v="11"/>
    <s v="Jan"/>
    <x v="11"/>
    <x v="0"/>
    <n v="2"/>
    <n v="499"/>
    <x v="7"/>
    <s v="Höffner"/>
    <n v="998"/>
    <x v="1"/>
  </r>
  <r>
    <x v="12"/>
    <s v="Jan"/>
    <x v="12"/>
    <x v="0"/>
    <n v="4"/>
    <n v="179"/>
    <x v="8"/>
    <s v="IKEA"/>
    <n v="716"/>
    <x v="0"/>
  </r>
  <r>
    <x v="13"/>
    <s v="Jan"/>
    <x v="13"/>
    <x v="1"/>
    <n v="7"/>
    <n v="69"/>
    <x v="0"/>
    <s v="Philips"/>
    <n v="483"/>
    <x v="0"/>
  </r>
  <r>
    <x v="14"/>
    <s v="Jan"/>
    <x v="14"/>
    <x v="0"/>
    <n v="3"/>
    <n v="129"/>
    <x v="3"/>
    <s v="Höffner"/>
    <n v="387"/>
    <x v="0"/>
  </r>
  <r>
    <x v="15"/>
    <s v="Jan"/>
    <x v="15"/>
    <x v="0"/>
    <n v="4"/>
    <n v="149"/>
    <x v="1"/>
    <s v="IKEA"/>
    <n v="596"/>
    <x v="0"/>
  </r>
  <r>
    <x v="16"/>
    <s v="Jan"/>
    <x v="16"/>
    <x v="1"/>
    <n v="5"/>
    <n v="89"/>
    <x v="4"/>
    <s v="Eglo"/>
    <n v="445"/>
    <x v="0"/>
  </r>
  <r>
    <x v="17"/>
    <s v="Jan"/>
    <x v="17"/>
    <x v="0"/>
    <n v="3"/>
    <n v="79"/>
    <x v="5"/>
    <s v="IKEA"/>
    <n v="237"/>
    <x v="0"/>
  </r>
  <r>
    <x v="18"/>
    <s v="Jan"/>
    <x v="18"/>
    <x v="0"/>
    <n v="2"/>
    <n v="199"/>
    <x v="7"/>
    <s v="Höffner"/>
    <n v="398"/>
    <x v="1"/>
  </r>
  <r>
    <x v="19"/>
    <s v="Jan"/>
    <x v="19"/>
    <x v="1"/>
    <n v="6"/>
    <n v="99"/>
    <x v="0"/>
    <s v="Philips"/>
    <n v="594"/>
    <x v="0"/>
  </r>
  <r>
    <x v="20"/>
    <s v="Jan"/>
    <x v="20"/>
    <x v="0"/>
    <n v="5"/>
    <n v="39"/>
    <x v="6"/>
    <s v="IKEA"/>
    <n v="195"/>
    <x v="0"/>
  </r>
  <r>
    <x v="21"/>
    <s v="Jan"/>
    <x v="21"/>
    <x v="0"/>
    <n v="4"/>
    <n v="399"/>
    <x v="3"/>
    <s v="Höffner"/>
    <n v="1596"/>
    <x v="0"/>
  </r>
  <r>
    <x v="22"/>
    <s v="Jan"/>
    <x v="22"/>
    <x v="1"/>
    <n v="6"/>
    <n v="49"/>
    <x v="1"/>
    <s v="Eglo"/>
    <n v="294"/>
    <x v="0"/>
  </r>
  <r>
    <x v="23"/>
    <s v="Jan"/>
    <x v="4"/>
    <x v="0"/>
    <n v="3"/>
    <n v="249"/>
    <x v="8"/>
    <s v="IKEA"/>
    <n v="747"/>
    <x v="0"/>
  </r>
  <r>
    <x v="24"/>
    <s v="Jan"/>
    <x v="23"/>
    <x v="1"/>
    <n v="2"/>
    <n v="79"/>
    <x v="4"/>
    <s v="Philips"/>
    <n v="158"/>
    <x v="0"/>
  </r>
  <r>
    <x v="25"/>
    <s v="Jan"/>
    <x v="14"/>
    <x v="0"/>
    <n v="3"/>
    <n v="129"/>
    <x v="7"/>
    <s v="Höffner"/>
    <n v="387"/>
    <x v="1"/>
  </r>
  <r>
    <x v="26"/>
    <s v="Jan"/>
    <x v="6"/>
    <x v="0"/>
    <n v="4"/>
    <n v="89"/>
    <x v="0"/>
    <s v="IKEA"/>
    <n v="356"/>
    <x v="0"/>
  </r>
  <r>
    <x v="27"/>
    <s v="Jan"/>
    <x v="24"/>
    <x v="1"/>
    <n v="5"/>
    <n v="69"/>
    <x v="8"/>
    <s v="Eglo"/>
    <n v="345"/>
    <x v="0"/>
  </r>
  <r>
    <x v="28"/>
    <s v="Jan"/>
    <x v="11"/>
    <x v="0"/>
    <n v="2"/>
    <n v="499"/>
    <x v="9"/>
    <s v="Höffner"/>
    <n v="998"/>
    <x v="1"/>
  </r>
  <r>
    <x v="29"/>
    <s v="Jan"/>
    <x v="9"/>
    <x v="0"/>
    <n v="4"/>
    <n v="69"/>
    <x v="4"/>
    <s v="IKEA"/>
    <n v="276"/>
    <x v="0"/>
  </r>
  <r>
    <x v="30"/>
    <s v="Jan"/>
    <x v="8"/>
    <x v="1"/>
    <n v="6"/>
    <n v="29"/>
    <x v="1"/>
    <s v="Philips"/>
    <n v="174"/>
    <x v="0"/>
  </r>
  <r>
    <x v="31"/>
    <s v="Feb"/>
    <x v="12"/>
    <x v="0"/>
    <n v="3"/>
    <n v="179"/>
    <x v="3"/>
    <s v="IKEA"/>
    <n v="537"/>
    <x v="0"/>
  </r>
  <r>
    <x v="32"/>
    <s v="Feb"/>
    <x v="18"/>
    <x v="0"/>
    <n v="2"/>
    <n v="199"/>
    <x v="9"/>
    <s v="Höffner"/>
    <n v="398"/>
    <x v="1"/>
  </r>
  <r>
    <x v="33"/>
    <s v="Feb"/>
    <x v="10"/>
    <x v="1"/>
    <n v="5"/>
    <n v="59"/>
    <x v="4"/>
    <s v="Eglo"/>
    <n v="295"/>
    <x v="0"/>
  </r>
  <r>
    <x v="34"/>
    <s v="Feb"/>
    <x v="15"/>
    <x v="0"/>
    <n v="4"/>
    <n v="149"/>
    <x v="1"/>
    <s v="IKEA"/>
    <n v="596"/>
    <x v="0"/>
  </r>
  <r>
    <x v="35"/>
    <s v="Feb"/>
    <x v="2"/>
    <x v="1"/>
    <n v="6"/>
    <n v="49"/>
    <x v="5"/>
    <s v="Philips"/>
    <n v="294"/>
    <x v="0"/>
  </r>
  <r>
    <x v="36"/>
    <s v="Feb"/>
    <x v="7"/>
    <x v="0"/>
    <n v="3"/>
    <n v="349"/>
    <x v="3"/>
    <s v="Höffner"/>
    <n v="1047"/>
    <x v="0"/>
  </r>
  <r>
    <x v="37"/>
    <s v="Feb"/>
    <x v="17"/>
    <x v="0"/>
    <n v="5"/>
    <n v="79"/>
    <x v="8"/>
    <s v="IKEA"/>
    <n v="395"/>
    <x v="0"/>
  </r>
  <r>
    <x v="38"/>
    <s v="Feb"/>
    <x v="22"/>
    <x v="1"/>
    <n v="4"/>
    <n v="49"/>
    <x v="4"/>
    <s v="Eglo"/>
    <n v="196"/>
    <x v="0"/>
  </r>
  <r>
    <x v="39"/>
    <s v="Feb"/>
    <x v="20"/>
    <x v="0"/>
    <n v="6"/>
    <n v="39"/>
    <x v="0"/>
    <s v="IKEA"/>
    <n v="234"/>
    <x v="0"/>
  </r>
  <r>
    <x v="40"/>
    <s v="Feb"/>
    <x v="19"/>
    <x v="1"/>
    <n v="3"/>
    <n v="99"/>
    <x v="5"/>
    <s v="Philips"/>
    <n v="297"/>
    <x v="0"/>
  </r>
  <r>
    <x v="41"/>
    <s v="Feb"/>
    <x v="21"/>
    <x v="0"/>
    <n v="2"/>
    <n v="399"/>
    <x v="7"/>
    <s v="Höffner"/>
    <n v="798"/>
    <x v="1"/>
  </r>
  <r>
    <x v="42"/>
    <s v="Feb"/>
    <x v="4"/>
    <x v="0"/>
    <n v="5"/>
    <n v="249"/>
    <x v="4"/>
    <s v="IKEA"/>
    <n v="1245"/>
    <x v="0"/>
  </r>
  <r>
    <x v="43"/>
    <s v="Feb"/>
    <x v="24"/>
    <x v="1"/>
    <n v="6"/>
    <n v="69"/>
    <x v="10"/>
    <s v="Eglo"/>
    <n v="414"/>
    <x v="0"/>
  </r>
  <r>
    <x v="44"/>
    <s v="Feb"/>
    <x v="14"/>
    <x v="0"/>
    <n v="3"/>
    <n v="129"/>
    <x v="3"/>
    <s v="Höffner"/>
    <n v="387"/>
    <x v="0"/>
  </r>
  <r>
    <x v="45"/>
    <s v="Feb"/>
    <x v="13"/>
    <x v="1"/>
    <n v="4"/>
    <n v="69"/>
    <x v="8"/>
    <s v="Philips"/>
    <n v="276"/>
    <x v="0"/>
  </r>
  <r>
    <x v="46"/>
    <s v="Feb"/>
    <x v="6"/>
    <x v="0"/>
    <n v="5"/>
    <n v="89"/>
    <x v="1"/>
    <s v="IKEA"/>
    <n v="445"/>
    <x v="0"/>
  </r>
  <r>
    <x v="47"/>
    <s v="Feb"/>
    <x v="3"/>
    <x v="0"/>
    <n v="2"/>
    <n v="599"/>
    <x v="9"/>
    <s v="Höffner"/>
    <n v="1198"/>
    <x v="1"/>
  </r>
  <r>
    <x v="48"/>
    <s v="Feb"/>
    <x v="23"/>
    <x v="1"/>
    <n v="3"/>
    <n v="79"/>
    <x v="4"/>
    <s v="Philips"/>
    <n v="237"/>
    <x v="0"/>
  </r>
  <r>
    <x v="49"/>
    <s v="Feb"/>
    <x v="9"/>
    <x v="0"/>
    <n v="4"/>
    <n v="69"/>
    <x v="5"/>
    <s v="IKEA"/>
    <n v="276"/>
    <x v="0"/>
  </r>
  <r>
    <x v="50"/>
    <s v="Feb"/>
    <x v="16"/>
    <x v="1"/>
    <n v="5"/>
    <n v="89"/>
    <x v="8"/>
    <s v="Eglo"/>
    <n v="44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036B0-7B6E-46B5-9F86-6B38EB4F209B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88:G91" firstHeaderRow="1" firstDataRow="1" firstDataCol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Units Sold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048A0-658E-41DC-93E8-C9F694094618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C88:D91" firstHeaderRow="1" firstDataRow="1" firstDataCol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Sales" fld="8" baseField="0" baseItem="0" numFmtId="164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38653-B820-4426-BED9-855FBF3084E9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5:B83" firstHeaderRow="1" firstDataRow="1" firstDataCol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Row" showAll="0">
      <items count="26">
        <item x="16"/>
        <item x="22"/>
        <item x="24"/>
        <item x="5"/>
        <item x="10"/>
        <item x="18"/>
        <item x="14"/>
        <item x="7"/>
        <item x="11"/>
        <item x="3"/>
        <item x="21"/>
        <item x="12"/>
        <item x="17"/>
        <item x="15"/>
        <item x="9"/>
        <item x="20"/>
        <item x="1"/>
        <item x="4"/>
        <item x="0"/>
        <item x="6"/>
        <item x="13"/>
        <item x="23"/>
        <item x="2"/>
        <item x="8"/>
        <item x="19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2"/>
  </rowFields>
  <rowItems count="28">
    <i>
      <x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</i>
    <i r="1">
      <x/>
    </i>
    <i r="1">
      <x v="1"/>
    </i>
    <i r="1">
      <x v="2"/>
    </i>
    <i r="1">
      <x v="3"/>
    </i>
    <i r="1">
      <x v="4"/>
    </i>
    <i r="1">
      <x v="20"/>
    </i>
    <i r="1">
      <x v="21"/>
    </i>
    <i r="1">
      <x v="22"/>
    </i>
    <i r="1">
      <x v="23"/>
    </i>
    <i r="1">
      <x v="24"/>
    </i>
    <i t="grand">
      <x/>
    </i>
  </rowItems>
  <colItems count="1">
    <i/>
  </colItems>
  <dataFields count="1">
    <dataField name="Sum of Units Sold" fld="4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CB454-8D97-4D0B-8661-5AA99129B19F}" name="Table1" displayName="Table1" ref="A1:J52" totalsRowShown="0">
  <autoFilter ref="A1:J52" xr:uid="{20DCB454-8D97-4D0B-8661-5AA99129B19F}"/>
  <tableColumns count="10">
    <tableColumn id="1" xr3:uid="{566F44B3-DEA3-405C-A9FB-691BF707E03B}" name="Date" dataDxfId="3"/>
    <tableColumn id="2" xr3:uid="{E7706D83-2D29-4D30-887E-281A165230FB}" name="Month" dataDxfId="2">
      <calculatedColumnFormula>TEXT(A2, "MMM")</calculatedColumnFormula>
    </tableColumn>
    <tableColumn id="3" xr3:uid="{4084A554-FF0A-4FB5-B449-BA171E9A0C54}" name="Product"/>
    <tableColumn id="4" xr3:uid="{8048000C-1EBF-4E42-A6D0-948E18D13E79}" name="Category"/>
    <tableColumn id="5" xr3:uid="{F7A8CED0-F2F3-4471-A0F9-A53EAC89003D}" name="Units Sold"/>
    <tableColumn id="6" xr3:uid="{673BF471-126B-4CEC-8B36-85AD609BAD90}" name="Unit Price" dataDxfId="1" dataCellStyle="Currency"/>
    <tableColumn id="7" xr3:uid="{554DAEDF-3140-4382-9B2B-C7065B1BDD2C}" name="Stock Level"/>
    <tableColumn id="8" xr3:uid="{04EEBE3A-4984-4A2C-BE75-15231AFFEFF6}" name="Supplier"/>
    <tableColumn id="9" xr3:uid="{13FBDC4D-B1F7-4CEF-AE91-C06C31615675}" name="Total Sales" dataDxfId="0">
      <calculatedColumnFormula>E2*F2</calculatedColumnFormula>
    </tableColumn>
    <tableColumn id="10" xr3:uid="{06357EF9-C790-46D2-A341-6D4C96A340F4}" name="Stock Status">
      <calculatedColumnFormula>IF(G2&lt;10,"Low","OK")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zoomScale="70" zoomScaleNormal="70" workbookViewId="0">
      <selection activeCell="B113" sqref="B113"/>
    </sheetView>
  </sheetViews>
  <sheetFormatPr defaultRowHeight="14.5" x14ac:dyDescent="0.35"/>
  <cols>
    <col min="1" max="1" width="23" bestFit="1" customWidth="1"/>
    <col min="2" max="2" width="16.36328125" bestFit="1" customWidth="1"/>
    <col min="3" max="3" width="21.453125" customWidth="1"/>
    <col min="4" max="4" width="10.7265625" bestFit="1" customWidth="1"/>
    <col min="5" max="5" width="15.6328125" bestFit="1" customWidth="1"/>
    <col min="6" max="6" width="13.26953125" style="5" bestFit="1" customWidth="1"/>
    <col min="7" max="7" width="15.6328125" bestFit="1" customWidth="1"/>
    <col min="8" max="8" width="16.90625" customWidth="1"/>
    <col min="9" max="9" width="11.7265625" style="5" customWidth="1"/>
    <col min="10" max="10" width="13.08984375" customWidth="1"/>
    <col min="11" max="11" width="23" bestFit="1" customWidth="1"/>
    <col min="12" max="12" width="24.6328125" customWidth="1"/>
    <col min="13" max="13" width="18.90625" customWidth="1"/>
  </cols>
  <sheetData>
    <row r="1" spans="1:10" x14ac:dyDescent="0.35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5" t="s">
        <v>37</v>
      </c>
      <c r="J1" t="s">
        <v>38</v>
      </c>
    </row>
    <row r="2" spans="1:10" x14ac:dyDescent="0.35">
      <c r="A2" s="2">
        <v>46023</v>
      </c>
      <c r="B2" s="2" t="str">
        <f>TEXT(A2, "MMM")</f>
        <v>Jan</v>
      </c>
      <c r="C2" t="s">
        <v>7</v>
      </c>
      <c r="D2" t="s">
        <v>8</v>
      </c>
      <c r="E2">
        <v>5</v>
      </c>
      <c r="F2" s="4">
        <v>199</v>
      </c>
      <c r="G2">
        <v>20</v>
      </c>
      <c r="H2" t="s">
        <v>39</v>
      </c>
      <c r="I2" s="5">
        <f>E2*F2</f>
        <v>995</v>
      </c>
      <c r="J2" t="str">
        <f>IF(G2&lt;10,"Low","OK")</f>
        <v>OK</v>
      </c>
    </row>
    <row r="3" spans="1:10" x14ac:dyDescent="0.35">
      <c r="A3" s="2">
        <v>46024</v>
      </c>
      <c r="B3" s="2" t="str">
        <f t="shared" ref="B3:B52" si="0">TEXT(A3, "MMM")</f>
        <v>Jan</v>
      </c>
      <c r="C3" t="s">
        <v>9</v>
      </c>
      <c r="D3" t="s">
        <v>8</v>
      </c>
      <c r="E3">
        <v>3</v>
      </c>
      <c r="F3" s="4">
        <v>39</v>
      </c>
      <c r="G3">
        <v>15</v>
      </c>
      <c r="H3" t="s">
        <v>39</v>
      </c>
      <c r="I3" s="5">
        <f t="shared" ref="I3:I52" si="1">E3*F3</f>
        <v>117</v>
      </c>
      <c r="J3" t="str">
        <f t="shared" ref="J3:J52" si="2">IF(G3&lt;10,"Low","OK")</f>
        <v>OK</v>
      </c>
    </row>
    <row r="4" spans="1:10" x14ac:dyDescent="0.35">
      <c r="A4" s="2">
        <v>46025</v>
      </c>
      <c r="B4" s="2" t="str">
        <f t="shared" si="0"/>
        <v>Jan</v>
      </c>
      <c r="C4" t="s">
        <v>10</v>
      </c>
      <c r="D4" t="s">
        <v>11</v>
      </c>
      <c r="E4">
        <v>7</v>
      </c>
      <c r="F4" s="4">
        <v>49</v>
      </c>
      <c r="G4">
        <v>25</v>
      </c>
      <c r="H4" t="s">
        <v>12</v>
      </c>
      <c r="I4" s="5">
        <f t="shared" si="1"/>
        <v>343</v>
      </c>
      <c r="J4" t="str">
        <f t="shared" si="2"/>
        <v>OK</v>
      </c>
    </row>
    <row r="5" spans="1:10" x14ac:dyDescent="0.35">
      <c r="A5" s="2">
        <v>46026</v>
      </c>
      <c r="B5" s="2" t="str">
        <f t="shared" si="0"/>
        <v>Jan</v>
      </c>
      <c r="C5" t="s">
        <v>13</v>
      </c>
      <c r="D5" t="s">
        <v>8</v>
      </c>
      <c r="E5">
        <v>2</v>
      </c>
      <c r="F5" s="4">
        <v>599</v>
      </c>
      <c r="G5">
        <v>10</v>
      </c>
      <c r="H5" t="s">
        <v>14</v>
      </c>
      <c r="I5" s="5">
        <f t="shared" si="1"/>
        <v>1198</v>
      </c>
      <c r="J5" t="str">
        <f t="shared" si="2"/>
        <v>OK</v>
      </c>
    </row>
    <row r="6" spans="1:10" x14ac:dyDescent="0.35">
      <c r="A6" s="2">
        <v>46027</v>
      </c>
      <c r="B6" s="2" t="str">
        <f t="shared" si="0"/>
        <v>Jan</v>
      </c>
      <c r="C6" t="s">
        <v>15</v>
      </c>
      <c r="D6" t="s">
        <v>8</v>
      </c>
      <c r="E6">
        <v>4</v>
      </c>
      <c r="F6" s="4">
        <v>249</v>
      </c>
      <c r="G6">
        <v>12</v>
      </c>
      <c r="H6" t="s">
        <v>39</v>
      </c>
      <c r="I6" s="5">
        <f t="shared" si="1"/>
        <v>996</v>
      </c>
      <c r="J6" t="str">
        <f t="shared" si="2"/>
        <v>OK</v>
      </c>
    </row>
    <row r="7" spans="1:10" x14ac:dyDescent="0.35">
      <c r="A7" s="2">
        <v>46028</v>
      </c>
      <c r="B7" s="2" t="str">
        <f t="shared" si="0"/>
        <v>Jan</v>
      </c>
      <c r="C7" t="s">
        <v>16</v>
      </c>
      <c r="D7" t="s">
        <v>11</v>
      </c>
      <c r="E7">
        <v>6</v>
      </c>
      <c r="F7" s="4">
        <v>79</v>
      </c>
      <c r="G7">
        <v>18</v>
      </c>
      <c r="H7" t="s">
        <v>17</v>
      </c>
      <c r="I7" s="5">
        <f t="shared" si="1"/>
        <v>474</v>
      </c>
      <c r="J7" t="str">
        <f t="shared" si="2"/>
        <v>OK</v>
      </c>
    </row>
    <row r="8" spans="1:10" x14ac:dyDescent="0.35">
      <c r="A8" s="2">
        <v>46029</v>
      </c>
      <c r="B8" s="2" t="str">
        <f t="shared" si="0"/>
        <v>Jan</v>
      </c>
      <c r="C8" t="s">
        <v>18</v>
      </c>
      <c r="D8" t="s">
        <v>8</v>
      </c>
      <c r="E8">
        <v>5</v>
      </c>
      <c r="F8" s="4">
        <v>89</v>
      </c>
      <c r="G8">
        <v>22</v>
      </c>
      <c r="H8" t="s">
        <v>39</v>
      </c>
      <c r="I8" s="5">
        <f t="shared" si="1"/>
        <v>445</v>
      </c>
      <c r="J8" t="str">
        <f t="shared" si="2"/>
        <v>OK</v>
      </c>
    </row>
    <row r="9" spans="1:10" x14ac:dyDescent="0.35">
      <c r="A9" s="2">
        <v>46030</v>
      </c>
      <c r="B9" s="2" t="str">
        <f t="shared" si="0"/>
        <v>Jan</v>
      </c>
      <c r="C9" t="s">
        <v>19</v>
      </c>
      <c r="D9" t="s">
        <v>8</v>
      </c>
      <c r="E9">
        <v>3</v>
      </c>
      <c r="F9" s="4">
        <v>349</v>
      </c>
      <c r="G9">
        <v>15</v>
      </c>
      <c r="H9" t="s">
        <v>14</v>
      </c>
      <c r="I9" s="5">
        <f t="shared" si="1"/>
        <v>1047</v>
      </c>
      <c r="J9" t="str">
        <f t="shared" si="2"/>
        <v>OK</v>
      </c>
    </row>
    <row r="10" spans="1:10" x14ac:dyDescent="0.35">
      <c r="A10" s="2">
        <v>46031</v>
      </c>
      <c r="B10" s="2" t="str">
        <f t="shared" si="0"/>
        <v>Jan</v>
      </c>
      <c r="C10" t="s">
        <v>20</v>
      </c>
      <c r="D10" t="s">
        <v>11</v>
      </c>
      <c r="E10">
        <v>4</v>
      </c>
      <c r="F10" s="4">
        <v>29</v>
      </c>
      <c r="G10">
        <v>20</v>
      </c>
      <c r="H10" t="s">
        <v>12</v>
      </c>
      <c r="I10" s="5">
        <f t="shared" si="1"/>
        <v>116</v>
      </c>
      <c r="J10" t="str">
        <f t="shared" si="2"/>
        <v>OK</v>
      </c>
    </row>
    <row r="11" spans="1:10" x14ac:dyDescent="0.35">
      <c r="A11" s="2">
        <v>46032</v>
      </c>
      <c r="B11" s="2" t="str">
        <f t="shared" si="0"/>
        <v>Jan</v>
      </c>
      <c r="C11" t="s">
        <v>21</v>
      </c>
      <c r="D11" t="s">
        <v>8</v>
      </c>
      <c r="E11">
        <v>6</v>
      </c>
      <c r="F11" s="4">
        <v>69</v>
      </c>
      <c r="G11">
        <v>18</v>
      </c>
      <c r="H11" t="s">
        <v>39</v>
      </c>
      <c r="I11" s="5">
        <f t="shared" si="1"/>
        <v>414</v>
      </c>
      <c r="J11" t="str">
        <f t="shared" si="2"/>
        <v>OK</v>
      </c>
    </row>
    <row r="12" spans="1:10" x14ac:dyDescent="0.35">
      <c r="A12" s="2">
        <v>46033</v>
      </c>
      <c r="B12" s="2" t="str">
        <f t="shared" si="0"/>
        <v>Jan</v>
      </c>
      <c r="C12" t="s">
        <v>22</v>
      </c>
      <c r="D12" t="s">
        <v>11</v>
      </c>
      <c r="E12">
        <v>5</v>
      </c>
      <c r="F12" s="4">
        <v>59</v>
      </c>
      <c r="G12">
        <v>15</v>
      </c>
      <c r="H12" t="s">
        <v>17</v>
      </c>
      <c r="I12" s="5">
        <f t="shared" si="1"/>
        <v>295</v>
      </c>
      <c r="J12" t="str">
        <f t="shared" si="2"/>
        <v>OK</v>
      </c>
    </row>
    <row r="13" spans="1:10" x14ac:dyDescent="0.35">
      <c r="A13" s="2">
        <v>46034</v>
      </c>
      <c r="B13" s="2" t="str">
        <f t="shared" si="0"/>
        <v>Jan</v>
      </c>
      <c r="C13" t="s">
        <v>23</v>
      </c>
      <c r="D13" t="s">
        <v>8</v>
      </c>
      <c r="E13">
        <v>2</v>
      </c>
      <c r="F13" s="4">
        <v>499</v>
      </c>
      <c r="G13">
        <v>32</v>
      </c>
      <c r="H13" t="s">
        <v>14</v>
      </c>
      <c r="I13" s="5">
        <f t="shared" si="1"/>
        <v>998</v>
      </c>
      <c r="J13" t="str">
        <f>IF(G13&lt;10,"Low","OK")</f>
        <v>OK</v>
      </c>
    </row>
    <row r="14" spans="1:10" x14ac:dyDescent="0.35">
      <c r="A14" s="2">
        <v>46035</v>
      </c>
      <c r="B14" s="2" t="str">
        <f t="shared" si="0"/>
        <v>Jan</v>
      </c>
      <c r="C14" t="s">
        <v>24</v>
      </c>
      <c r="D14" t="s">
        <v>8</v>
      </c>
      <c r="E14">
        <v>4</v>
      </c>
      <c r="F14" s="4">
        <v>179</v>
      </c>
      <c r="G14">
        <v>14</v>
      </c>
      <c r="H14" t="s">
        <v>39</v>
      </c>
      <c r="I14" s="5">
        <f t="shared" si="1"/>
        <v>716</v>
      </c>
      <c r="J14" t="str">
        <f t="shared" si="2"/>
        <v>OK</v>
      </c>
    </row>
    <row r="15" spans="1:10" x14ac:dyDescent="0.35">
      <c r="A15" s="2">
        <v>46036</v>
      </c>
      <c r="B15" s="2" t="str">
        <f t="shared" si="0"/>
        <v>Jan</v>
      </c>
      <c r="C15" t="s">
        <v>25</v>
      </c>
      <c r="D15" t="s">
        <v>11</v>
      </c>
      <c r="E15">
        <v>7</v>
      </c>
      <c r="F15" s="4">
        <v>69</v>
      </c>
      <c r="G15">
        <v>20</v>
      </c>
      <c r="H15" t="s">
        <v>12</v>
      </c>
      <c r="I15" s="5">
        <f t="shared" si="1"/>
        <v>483</v>
      </c>
      <c r="J15" t="str">
        <f t="shared" si="2"/>
        <v>OK</v>
      </c>
    </row>
    <row r="16" spans="1:10" x14ac:dyDescent="0.35">
      <c r="A16" s="2">
        <v>46037</v>
      </c>
      <c r="B16" s="2" t="str">
        <f t="shared" si="0"/>
        <v>Jan</v>
      </c>
      <c r="C16" t="s">
        <v>26</v>
      </c>
      <c r="D16" t="s">
        <v>8</v>
      </c>
      <c r="E16">
        <v>3</v>
      </c>
      <c r="F16" s="4">
        <v>129</v>
      </c>
      <c r="G16">
        <v>10</v>
      </c>
      <c r="H16" t="s">
        <v>14</v>
      </c>
      <c r="I16" s="5">
        <f t="shared" si="1"/>
        <v>387</v>
      </c>
      <c r="J16" t="str">
        <f t="shared" si="2"/>
        <v>OK</v>
      </c>
    </row>
    <row r="17" spans="1:10" x14ac:dyDescent="0.35">
      <c r="A17" s="2">
        <v>46038</v>
      </c>
      <c r="B17" s="2" t="str">
        <f t="shared" si="0"/>
        <v>Jan</v>
      </c>
      <c r="C17" t="s">
        <v>27</v>
      </c>
      <c r="D17" t="s">
        <v>8</v>
      </c>
      <c r="E17">
        <v>4</v>
      </c>
      <c r="F17" s="4">
        <v>149</v>
      </c>
      <c r="G17">
        <v>15</v>
      </c>
      <c r="H17" t="s">
        <v>39</v>
      </c>
      <c r="I17" s="5">
        <f t="shared" si="1"/>
        <v>596</v>
      </c>
      <c r="J17" t="str">
        <f t="shared" si="2"/>
        <v>OK</v>
      </c>
    </row>
    <row r="18" spans="1:10" x14ac:dyDescent="0.35">
      <c r="A18" s="2">
        <v>46039</v>
      </c>
      <c r="B18" s="2" t="str">
        <f t="shared" si="0"/>
        <v>Jan</v>
      </c>
      <c r="C18" t="s">
        <v>28</v>
      </c>
      <c r="D18" t="s">
        <v>11</v>
      </c>
      <c r="E18">
        <v>5</v>
      </c>
      <c r="F18" s="4">
        <v>89</v>
      </c>
      <c r="G18">
        <v>12</v>
      </c>
      <c r="H18" t="s">
        <v>17</v>
      </c>
      <c r="I18" s="5">
        <f t="shared" si="1"/>
        <v>445</v>
      </c>
      <c r="J18" t="str">
        <f t="shared" si="2"/>
        <v>OK</v>
      </c>
    </row>
    <row r="19" spans="1:10" x14ac:dyDescent="0.35">
      <c r="A19" s="2">
        <v>46040</v>
      </c>
      <c r="B19" s="2" t="str">
        <f t="shared" si="0"/>
        <v>Jan</v>
      </c>
      <c r="C19" t="s">
        <v>29</v>
      </c>
      <c r="D19" t="s">
        <v>8</v>
      </c>
      <c r="E19">
        <v>3</v>
      </c>
      <c r="F19" s="4">
        <v>79</v>
      </c>
      <c r="G19">
        <v>18</v>
      </c>
      <c r="H19" t="s">
        <v>39</v>
      </c>
      <c r="I19" s="5">
        <f t="shared" si="1"/>
        <v>237</v>
      </c>
      <c r="J19" t="str">
        <f t="shared" si="2"/>
        <v>OK</v>
      </c>
    </row>
    <row r="20" spans="1:10" x14ac:dyDescent="0.35">
      <c r="A20" s="2">
        <v>46041</v>
      </c>
      <c r="B20" s="2" t="str">
        <f t="shared" si="0"/>
        <v>Jan</v>
      </c>
      <c r="C20" t="s">
        <v>30</v>
      </c>
      <c r="D20" t="s">
        <v>8</v>
      </c>
      <c r="E20">
        <v>2</v>
      </c>
      <c r="F20" s="4">
        <v>199</v>
      </c>
      <c r="G20">
        <v>8</v>
      </c>
      <c r="H20" t="s">
        <v>14</v>
      </c>
      <c r="I20" s="5">
        <f t="shared" si="1"/>
        <v>398</v>
      </c>
      <c r="J20" t="str">
        <f t="shared" si="2"/>
        <v>Low</v>
      </c>
    </row>
    <row r="21" spans="1:10" x14ac:dyDescent="0.35">
      <c r="A21" s="2">
        <v>46042</v>
      </c>
      <c r="B21" s="2" t="str">
        <f t="shared" si="0"/>
        <v>Jan</v>
      </c>
      <c r="C21" t="s">
        <v>31</v>
      </c>
      <c r="D21" t="s">
        <v>11</v>
      </c>
      <c r="E21">
        <v>6</v>
      </c>
      <c r="F21" s="4">
        <v>99</v>
      </c>
      <c r="G21">
        <v>20</v>
      </c>
      <c r="H21" t="s">
        <v>12</v>
      </c>
      <c r="I21" s="5">
        <f t="shared" si="1"/>
        <v>594</v>
      </c>
      <c r="J21" t="str">
        <f t="shared" si="2"/>
        <v>OK</v>
      </c>
    </row>
    <row r="22" spans="1:10" x14ac:dyDescent="0.35">
      <c r="A22" s="2">
        <v>46043</v>
      </c>
      <c r="B22" s="2" t="str">
        <f t="shared" si="0"/>
        <v>Jan</v>
      </c>
      <c r="C22" t="s">
        <v>32</v>
      </c>
      <c r="D22" t="s">
        <v>8</v>
      </c>
      <c r="E22">
        <v>5</v>
      </c>
      <c r="F22" s="4">
        <v>39</v>
      </c>
      <c r="G22">
        <v>22</v>
      </c>
      <c r="H22" t="s">
        <v>39</v>
      </c>
      <c r="I22" s="5">
        <f t="shared" si="1"/>
        <v>195</v>
      </c>
      <c r="J22" t="str">
        <f t="shared" si="2"/>
        <v>OK</v>
      </c>
    </row>
    <row r="23" spans="1:10" x14ac:dyDescent="0.35">
      <c r="A23" s="2">
        <v>46044</v>
      </c>
      <c r="B23" s="2" t="str">
        <f t="shared" si="0"/>
        <v>Jan</v>
      </c>
      <c r="C23" t="s">
        <v>33</v>
      </c>
      <c r="D23" t="s">
        <v>8</v>
      </c>
      <c r="E23">
        <v>4</v>
      </c>
      <c r="F23" s="4">
        <v>399</v>
      </c>
      <c r="G23">
        <v>10</v>
      </c>
      <c r="H23" t="s">
        <v>14</v>
      </c>
      <c r="I23" s="5">
        <f t="shared" si="1"/>
        <v>1596</v>
      </c>
      <c r="J23" t="str">
        <f t="shared" si="2"/>
        <v>OK</v>
      </c>
    </row>
    <row r="24" spans="1:10" x14ac:dyDescent="0.35">
      <c r="A24" s="2">
        <v>46045</v>
      </c>
      <c r="B24" s="2" t="str">
        <f t="shared" si="0"/>
        <v>Jan</v>
      </c>
      <c r="C24" t="s">
        <v>34</v>
      </c>
      <c r="D24" t="s">
        <v>11</v>
      </c>
      <c r="E24">
        <v>6</v>
      </c>
      <c r="F24" s="4">
        <v>49</v>
      </c>
      <c r="G24">
        <v>15</v>
      </c>
      <c r="H24" t="s">
        <v>17</v>
      </c>
      <c r="I24" s="5">
        <f t="shared" si="1"/>
        <v>294</v>
      </c>
      <c r="J24" t="str">
        <f t="shared" si="2"/>
        <v>OK</v>
      </c>
    </row>
    <row r="25" spans="1:10" x14ac:dyDescent="0.35">
      <c r="A25" s="2">
        <v>46046</v>
      </c>
      <c r="B25" s="2" t="str">
        <f t="shared" si="0"/>
        <v>Jan</v>
      </c>
      <c r="C25" t="s">
        <v>15</v>
      </c>
      <c r="D25" t="s">
        <v>8</v>
      </c>
      <c r="E25">
        <v>3</v>
      </c>
      <c r="F25" s="4">
        <v>249</v>
      </c>
      <c r="G25">
        <v>14</v>
      </c>
      <c r="H25" t="s">
        <v>39</v>
      </c>
      <c r="I25" s="5">
        <f t="shared" si="1"/>
        <v>747</v>
      </c>
      <c r="J25" t="str">
        <f t="shared" si="2"/>
        <v>OK</v>
      </c>
    </row>
    <row r="26" spans="1:10" x14ac:dyDescent="0.35">
      <c r="A26" s="2">
        <v>46047</v>
      </c>
      <c r="B26" s="2" t="str">
        <f t="shared" si="0"/>
        <v>Jan</v>
      </c>
      <c r="C26" t="s">
        <v>35</v>
      </c>
      <c r="D26" t="s">
        <v>11</v>
      </c>
      <c r="E26">
        <v>2</v>
      </c>
      <c r="F26" s="4">
        <v>79</v>
      </c>
      <c r="G26">
        <v>12</v>
      </c>
      <c r="H26" t="s">
        <v>12</v>
      </c>
      <c r="I26" s="5">
        <f t="shared" si="1"/>
        <v>158</v>
      </c>
      <c r="J26" t="str">
        <f t="shared" si="2"/>
        <v>OK</v>
      </c>
    </row>
    <row r="27" spans="1:10" x14ac:dyDescent="0.35">
      <c r="A27" s="2">
        <v>46048</v>
      </c>
      <c r="B27" s="2" t="str">
        <f t="shared" si="0"/>
        <v>Jan</v>
      </c>
      <c r="C27" t="s">
        <v>26</v>
      </c>
      <c r="D27" t="s">
        <v>8</v>
      </c>
      <c r="E27">
        <v>3</v>
      </c>
      <c r="F27" s="4">
        <v>129</v>
      </c>
      <c r="G27">
        <v>8</v>
      </c>
      <c r="H27" t="s">
        <v>14</v>
      </c>
      <c r="I27" s="5">
        <f t="shared" si="1"/>
        <v>387</v>
      </c>
      <c r="J27" t="str">
        <f t="shared" si="2"/>
        <v>Low</v>
      </c>
    </row>
    <row r="28" spans="1:10" x14ac:dyDescent="0.35">
      <c r="A28" s="2">
        <v>46049</v>
      </c>
      <c r="B28" s="2" t="str">
        <f t="shared" si="0"/>
        <v>Jan</v>
      </c>
      <c r="C28" t="s">
        <v>18</v>
      </c>
      <c r="D28" t="s">
        <v>8</v>
      </c>
      <c r="E28">
        <v>4</v>
      </c>
      <c r="F28" s="4">
        <v>89</v>
      </c>
      <c r="G28">
        <v>20</v>
      </c>
      <c r="H28" t="s">
        <v>39</v>
      </c>
      <c r="I28" s="5">
        <f t="shared" si="1"/>
        <v>356</v>
      </c>
      <c r="J28" t="str">
        <f t="shared" si="2"/>
        <v>OK</v>
      </c>
    </row>
    <row r="29" spans="1:10" x14ac:dyDescent="0.35">
      <c r="A29" s="2">
        <v>46050</v>
      </c>
      <c r="B29" s="2" t="str">
        <f t="shared" si="0"/>
        <v>Jan</v>
      </c>
      <c r="C29" t="s">
        <v>36</v>
      </c>
      <c r="D29" t="s">
        <v>11</v>
      </c>
      <c r="E29">
        <v>5</v>
      </c>
      <c r="F29" s="4">
        <v>69</v>
      </c>
      <c r="G29">
        <v>14</v>
      </c>
      <c r="H29" t="s">
        <v>17</v>
      </c>
      <c r="I29" s="5">
        <f t="shared" si="1"/>
        <v>345</v>
      </c>
      <c r="J29" t="str">
        <f t="shared" si="2"/>
        <v>OK</v>
      </c>
    </row>
    <row r="30" spans="1:10" x14ac:dyDescent="0.35">
      <c r="A30" s="2">
        <v>46051</v>
      </c>
      <c r="B30" s="2" t="str">
        <f t="shared" si="0"/>
        <v>Jan</v>
      </c>
      <c r="C30" t="s">
        <v>23</v>
      </c>
      <c r="D30" t="s">
        <v>8</v>
      </c>
      <c r="E30">
        <v>2</v>
      </c>
      <c r="F30" s="4">
        <v>499</v>
      </c>
      <c r="G30">
        <v>6</v>
      </c>
      <c r="H30" t="s">
        <v>14</v>
      </c>
      <c r="I30" s="5">
        <f t="shared" si="1"/>
        <v>998</v>
      </c>
      <c r="J30" t="str">
        <f t="shared" si="2"/>
        <v>Low</v>
      </c>
    </row>
    <row r="31" spans="1:10" x14ac:dyDescent="0.35">
      <c r="A31" s="2">
        <v>46052</v>
      </c>
      <c r="B31" s="2" t="str">
        <f t="shared" si="0"/>
        <v>Jan</v>
      </c>
      <c r="C31" t="s">
        <v>21</v>
      </c>
      <c r="D31" t="s">
        <v>8</v>
      </c>
      <c r="E31">
        <v>4</v>
      </c>
      <c r="F31" s="4">
        <v>69</v>
      </c>
      <c r="G31">
        <v>12</v>
      </c>
      <c r="H31" t="s">
        <v>39</v>
      </c>
      <c r="I31" s="5">
        <f t="shared" si="1"/>
        <v>276</v>
      </c>
      <c r="J31" t="str">
        <f t="shared" si="2"/>
        <v>OK</v>
      </c>
    </row>
    <row r="32" spans="1:10" x14ac:dyDescent="0.35">
      <c r="A32" s="2">
        <v>46053</v>
      </c>
      <c r="B32" s="2" t="str">
        <f t="shared" si="0"/>
        <v>Jan</v>
      </c>
      <c r="C32" t="s">
        <v>20</v>
      </c>
      <c r="D32" t="s">
        <v>11</v>
      </c>
      <c r="E32">
        <v>6</v>
      </c>
      <c r="F32" s="4">
        <v>29</v>
      </c>
      <c r="G32">
        <v>15</v>
      </c>
      <c r="H32" t="s">
        <v>12</v>
      </c>
      <c r="I32" s="5">
        <f t="shared" si="1"/>
        <v>174</v>
      </c>
      <c r="J32" t="str">
        <f t="shared" si="2"/>
        <v>OK</v>
      </c>
    </row>
    <row r="33" spans="1:10" x14ac:dyDescent="0.35">
      <c r="A33" s="2">
        <v>46054</v>
      </c>
      <c r="B33" s="2" t="str">
        <f t="shared" si="0"/>
        <v>Feb</v>
      </c>
      <c r="C33" t="s">
        <v>24</v>
      </c>
      <c r="D33" t="s">
        <v>8</v>
      </c>
      <c r="E33">
        <v>3</v>
      </c>
      <c r="F33" s="4">
        <v>179</v>
      </c>
      <c r="G33">
        <v>10</v>
      </c>
      <c r="H33" t="s">
        <v>39</v>
      </c>
      <c r="I33" s="5">
        <f t="shared" si="1"/>
        <v>537</v>
      </c>
      <c r="J33" t="str">
        <f t="shared" si="2"/>
        <v>OK</v>
      </c>
    </row>
    <row r="34" spans="1:10" x14ac:dyDescent="0.35">
      <c r="A34" s="2">
        <v>46055</v>
      </c>
      <c r="B34" s="2" t="str">
        <f t="shared" si="0"/>
        <v>Feb</v>
      </c>
      <c r="C34" t="s">
        <v>30</v>
      </c>
      <c r="D34" t="s">
        <v>8</v>
      </c>
      <c r="E34">
        <v>2</v>
      </c>
      <c r="F34" s="4">
        <v>199</v>
      </c>
      <c r="G34">
        <v>6</v>
      </c>
      <c r="H34" t="s">
        <v>14</v>
      </c>
      <c r="I34" s="5">
        <f t="shared" si="1"/>
        <v>398</v>
      </c>
      <c r="J34" t="str">
        <f t="shared" si="2"/>
        <v>Low</v>
      </c>
    </row>
    <row r="35" spans="1:10" x14ac:dyDescent="0.35">
      <c r="A35" s="2">
        <v>46056</v>
      </c>
      <c r="B35" s="2" t="str">
        <f t="shared" si="0"/>
        <v>Feb</v>
      </c>
      <c r="C35" t="s">
        <v>22</v>
      </c>
      <c r="D35" t="s">
        <v>11</v>
      </c>
      <c r="E35">
        <v>5</v>
      </c>
      <c r="F35" s="4">
        <v>59</v>
      </c>
      <c r="G35">
        <v>12</v>
      </c>
      <c r="H35" t="s">
        <v>17</v>
      </c>
      <c r="I35" s="5">
        <f t="shared" si="1"/>
        <v>295</v>
      </c>
      <c r="J35" t="str">
        <f t="shared" si="2"/>
        <v>OK</v>
      </c>
    </row>
    <row r="36" spans="1:10" x14ac:dyDescent="0.35">
      <c r="A36" s="2">
        <v>46057</v>
      </c>
      <c r="B36" s="2" t="str">
        <f t="shared" si="0"/>
        <v>Feb</v>
      </c>
      <c r="C36" t="s">
        <v>27</v>
      </c>
      <c r="D36" t="s">
        <v>8</v>
      </c>
      <c r="E36">
        <v>4</v>
      </c>
      <c r="F36" s="4">
        <v>149</v>
      </c>
      <c r="G36">
        <v>15</v>
      </c>
      <c r="H36" t="s">
        <v>39</v>
      </c>
      <c r="I36" s="5">
        <f t="shared" si="1"/>
        <v>596</v>
      </c>
      <c r="J36" t="str">
        <f t="shared" si="2"/>
        <v>OK</v>
      </c>
    </row>
    <row r="37" spans="1:10" x14ac:dyDescent="0.35">
      <c r="A37" s="2">
        <v>46058</v>
      </c>
      <c r="B37" s="2" t="str">
        <f t="shared" si="0"/>
        <v>Feb</v>
      </c>
      <c r="C37" t="s">
        <v>10</v>
      </c>
      <c r="D37" t="s">
        <v>11</v>
      </c>
      <c r="E37">
        <v>6</v>
      </c>
      <c r="F37" s="4">
        <v>49</v>
      </c>
      <c r="G37">
        <v>18</v>
      </c>
      <c r="H37" t="s">
        <v>12</v>
      </c>
      <c r="I37" s="5">
        <f t="shared" si="1"/>
        <v>294</v>
      </c>
      <c r="J37" t="str">
        <f t="shared" si="2"/>
        <v>OK</v>
      </c>
    </row>
    <row r="38" spans="1:10" x14ac:dyDescent="0.35">
      <c r="A38" s="2">
        <v>46059</v>
      </c>
      <c r="B38" s="2" t="str">
        <f t="shared" si="0"/>
        <v>Feb</v>
      </c>
      <c r="C38" t="s">
        <v>19</v>
      </c>
      <c r="D38" t="s">
        <v>8</v>
      </c>
      <c r="E38">
        <v>3</v>
      </c>
      <c r="F38" s="4">
        <v>349</v>
      </c>
      <c r="G38">
        <v>10</v>
      </c>
      <c r="H38" t="s">
        <v>14</v>
      </c>
      <c r="I38" s="5">
        <f t="shared" si="1"/>
        <v>1047</v>
      </c>
      <c r="J38" t="str">
        <f t="shared" si="2"/>
        <v>OK</v>
      </c>
    </row>
    <row r="39" spans="1:10" x14ac:dyDescent="0.35">
      <c r="A39" s="2">
        <v>46060</v>
      </c>
      <c r="B39" s="2" t="str">
        <f t="shared" si="0"/>
        <v>Feb</v>
      </c>
      <c r="C39" t="s">
        <v>29</v>
      </c>
      <c r="D39" t="s">
        <v>8</v>
      </c>
      <c r="E39">
        <v>5</v>
      </c>
      <c r="F39" s="4">
        <v>79</v>
      </c>
      <c r="G39">
        <v>14</v>
      </c>
      <c r="H39" t="s">
        <v>39</v>
      </c>
      <c r="I39" s="5">
        <f t="shared" si="1"/>
        <v>395</v>
      </c>
      <c r="J39" t="str">
        <f t="shared" si="2"/>
        <v>OK</v>
      </c>
    </row>
    <row r="40" spans="1:10" x14ac:dyDescent="0.35">
      <c r="A40" s="2">
        <v>46061</v>
      </c>
      <c r="B40" s="2" t="str">
        <f t="shared" si="0"/>
        <v>Feb</v>
      </c>
      <c r="C40" t="s">
        <v>34</v>
      </c>
      <c r="D40" t="s">
        <v>11</v>
      </c>
      <c r="E40">
        <v>4</v>
      </c>
      <c r="F40" s="4">
        <v>49</v>
      </c>
      <c r="G40">
        <v>12</v>
      </c>
      <c r="H40" t="s">
        <v>17</v>
      </c>
      <c r="I40" s="5">
        <f t="shared" si="1"/>
        <v>196</v>
      </c>
      <c r="J40" t="str">
        <f t="shared" si="2"/>
        <v>OK</v>
      </c>
    </row>
    <row r="41" spans="1:10" x14ac:dyDescent="0.35">
      <c r="A41" s="2">
        <v>46062</v>
      </c>
      <c r="B41" s="2" t="str">
        <f t="shared" si="0"/>
        <v>Feb</v>
      </c>
      <c r="C41" t="s">
        <v>32</v>
      </c>
      <c r="D41" t="s">
        <v>8</v>
      </c>
      <c r="E41">
        <v>6</v>
      </c>
      <c r="F41" s="4">
        <v>39</v>
      </c>
      <c r="G41">
        <v>20</v>
      </c>
      <c r="H41" t="s">
        <v>39</v>
      </c>
      <c r="I41" s="5">
        <f t="shared" si="1"/>
        <v>234</v>
      </c>
      <c r="J41" t="str">
        <f t="shared" si="2"/>
        <v>OK</v>
      </c>
    </row>
    <row r="42" spans="1:10" x14ac:dyDescent="0.35">
      <c r="A42" s="2">
        <v>46063</v>
      </c>
      <c r="B42" s="2" t="str">
        <f t="shared" si="0"/>
        <v>Feb</v>
      </c>
      <c r="C42" t="s">
        <v>31</v>
      </c>
      <c r="D42" t="s">
        <v>11</v>
      </c>
      <c r="E42">
        <v>3</v>
      </c>
      <c r="F42" s="4">
        <v>99</v>
      </c>
      <c r="G42">
        <v>18</v>
      </c>
      <c r="H42" t="s">
        <v>12</v>
      </c>
      <c r="I42" s="5">
        <f t="shared" si="1"/>
        <v>297</v>
      </c>
      <c r="J42" t="str">
        <f t="shared" si="2"/>
        <v>OK</v>
      </c>
    </row>
    <row r="43" spans="1:10" x14ac:dyDescent="0.35">
      <c r="A43" s="2">
        <v>46064</v>
      </c>
      <c r="B43" s="2" t="str">
        <f t="shared" si="0"/>
        <v>Feb</v>
      </c>
      <c r="C43" t="s">
        <v>33</v>
      </c>
      <c r="D43" t="s">
        <v>8</v>
      </c>
      <c r="E43">
        <v>2</v>
      </c>
      <c r="F43" s="4">
        <v>399</v>
      </c>
      <c r="G43">
        <v>8</v>
      </c>
      <c r="H43" t="s">
        <v>14</v>
      </c>
      <c r="I43" s="5">
        <f t="shared" si="1"/>
        <v>798</v>
      </c>
      <c r="J43" t="str">
        <f t="shared" si="2"/>
        <v>Low</v>
      </c>
    </row>
    <row r="44" spans="1:10" x14ac:dyDescent="0.35">
      <c r="A44" s="2">
        <v>46065</v>
      </c>
      <c r="B44" s="2" t="str">
        <f t="shared" si="0"/>
        <v>Feb</v>
      </c>
      <c r="C44" t="s">
        <v>15</v>
      </c>
      <c r="D44" t="s">
        <v>8</v>
      </c>
      <c r="E44">
        <v>5</v>
      </c>
      <c r="F44" s="4">
        <v>249</v>
      </c>
      <c r="G44">
        <v>12</v>
      </c>
      <c r="H44" t="s">
        <v>39</v>
      </c>
      <c r="I44" s="5">
        <f t="shared" si="1"/>
        <v>1245</v>
      </c>
      <c r="J44" t="str">
        <f t="shared" si="2"/>
        <v>OK</v>
      </c>
    </row>
    <row r="45" spans="1:10" x14ac:dyDescent="0.35">
      <c r="A45" s="2">
        <v>46066</v>
      </c>
      <c r="B45" s="2" t="str">
        <f t="shared" si="0"/>
        <v>Feb</v>
      </c>
      <c r="C45" t="s">
        <v>36</v>
      </c>
      <c r="D45" t="s">
        <v>11</v>
      </c>
      <c r="E45">
        <v>6</v>
      </c>
      <c r="F45" s="4">
        <v>69</v>
      </c>
      <c r="G45">
        <v>16</v>
      </c>
      <c r="H45" t="s">
        <v>17</v>
      </c>
      <c r="I45" s="5">
        <f t="shared" si="1"/>
        <v>414</v>
      </c>
      <c r="J45" t="str">
        <f t="shared" si="2"/>
        <v>OK</v>
      </c>
    </row>
    <row r="46" spans="1:10" x14ac:dyDescent="0.35">
      <c r="A46" s="2">
        <v>46067</v>
      </c>
      <c r="B46" s="2" t="str">
        <f t="shared" si="0"/>
        <v>Feb</v>
      </c>
      <c r="C46" t="s">
        <v>26</v>
      </c>
      <c r="D46" t="s">
        <v>8</v>
      </c>
      <c r="E46">
        <v>3</v>
      </c>
      <c r="F46" s="4">
        <v>129</v>
      </c>
      <c r="G46">
        <v>10</v>
      </c>
      <c r="H46" t="s">
        <v>14</v>
      </c>
      <c r="I46" s="5">
        <f t="shared" si="1"/>
        <v>387</v>
      </c>
      <c r="J46" t="str">
        <f t="shared" si="2"/>
        <v>OK</v>
      </c>
    </row>
    <row r="47" spans="1:10" x14ac:dyDescent="0.35">
      <c r="A47" s="2">
        <v>46068</v>
      </c>
      <c r="B47" s="2" t="str">
        <f t="shared" si="0"/>
        <v>Feb</v>
      </c>
      <c r="C47" t="s">
        <v>25</v>
      </c>
      <c r="D47" t="s">
        <v>11</v>
      </c>
      <c r="E47">
        <v>4</v>
      </c>
      <c r="F47" s="4">
        <v>69</v>
      </c>
      <c r="G47">
        <v>14</v>
      </c>
      <c r="H47" t="s">
        <v>12</v>
      </c>
      <c r="I47" s="5">
        <f t="shared" si="1"/>
        <v>276</v>
      </c>
      <c r="J47" t="str">
        <f t="shared" si="2"/>
        <v>OK</v>
      </c>
    </row>
    <row r="48" spans="1:10" x14ac:dyDescent="0.35">
      <c r="A48" s="2">
        <v>46069</v>
      </c>
      <c r="B48" s="2" t="str">
        <f t="shared" si="0"/>
        <v>Feb</v>
      </c>
      <c r="C48" t="s">
        <v>18</v>
      </c>
      <c r="D48" t="s">
        <v>8</v>
      </c>
      <c r="E48">
        <v>5</v>
      </c>
      <c r="F48" s="4">
        <v>89</v>
      </c>
      <c r="G48">
        <v>15</v>
      </c>
      <c r="H48" t="s">
        <v>39</v>
      </c>
      <c r="I48" s="5">
        <f t="shared" si="1"/>
        <v>445</v>
      </c>
      <c r="J48" t="str">
        <f t="shared" si="2"/>
        <v>OK</v>
      </c>
    </row>
    <row r="49" spans="1:10" x14ac:dyDescent="0.35">
      <c r="A49" s="2">
        <v>46070</v>
      </c>
      <c r="B49" s="2" t="str">
        <f t="shared" si="0"/>
        <v>Feb</v>
      </c>
      <c r="C49" t="s">
        <v>13</v>
      </c>
      <c r="D49" t="s">
        <v>8</v>
      </c>
      <c r="E49">
        <v>2</v>
      </c>
      <c r="F49" s="4">
        <v>599</v>
      </c>
      <c r="G49">
        <v>6</v>
      </c>
      <c r="H49" t="s">
        <v>14</v>
      </c>
      <c r="I49" s="5">
        <f t="shared" si="1"/>
        <v>1198</v>
      </c>
      <c r="J49" t="str">
        <f t="shared" si="2"/>
        <v>Low</v>
      </c>
    </row>
    <row r="50" spans="1:10" x14ac:dyDescent="0.35">
      <c r="A50" s="2">
        <v>46071</v>
      </c>
      <c r="B50" s="2" t="str">
        <f t="shared" si="0"/>
        <v>Feb</v>
      </c>
      <c r="C50" t="s">
        <v>35</v>
      </c>
      <c r="D50" t="s">
        <v>11</v>
      </c>
      <c r="E50">
        <v>3</v>
      </c>
      <c r="F50" s="4">
        <v>79</v>
      </c>
      <c r="G50">
        <v>12</v>
      </c>
      <c r="H50" t="s">
        <v>12</v>
      </c>
      <c r="I50" s="5">
        <f t="shared" si="1"/>
        <v>237</v>
      </c>
      <c r="J50" t="str">
        <f t="shared" si="2"/>
        <v>OK</v>
      </c>
    </row>
    <row r="51" spans="1:10" x14ac:dyDescent="0.35">
      <c r="A51" s="2">
        <v>46072</v>
      </c>
      <c r="B51" s="2" t="str">
        <f t="shared" si="0"/>
        <v>Feb</v>
      </c>
      <c r="C51" t="s">
        <v>21</v>
      </c>
      <c r="D51" t="s">
        <v>8</v>
      </c>
      <c r="E51">
        <v>4</v>
      </c>
      <c r="F51" s="4">
        <v>69</v>
      </c>
      <c r="G51">
        <v>18</v>
      </c>
      <c r="H51" t="s">
        <v>39</v>
      </c>
      <c r="I51" s="5">
        <f t="shared" si="1"/>
        <v>276</v>
      </c>
      <c r="J51" t="str">
        <f t="shared" si="2"/>
        <v>OK</v>
      </c>
    </row>
    <row r="52" spans="1:10" x14ac:dyDescent="0.35">
      <c r="A52" s="2">
        <v>46073</v>
      </c>
      <c r="B52" s="2" t="str">
        <f t="shared" si="0"/>
        <v>Feb</v>
      </c>
      <c r="C52" t="s">
        <v>28</v>
      </c>
      <c r="D52" t="s">
        <v>11</v>
      </c>
      <c r="E52">
        <v>5</v>
      </c>
      <c r="F52" s="4">
        <v>89</v>
      </c>
      <c r="G52">
        <v>14</v>
      </c>
      <c r="H52" t="s">
        <v>17</v>
      </c>
      <c r="I52" s="5">
        <f t="shared" si="1"/>
        <v>445</v>
      </c>
      <c r="J52" t="str">
        <f t="shared" si="2"/>
        <v>OK</v>
      </c>
    </row>
    <row r="55" spans="1:10" x14ac:dyDescent="0.35">
      <c r="A55" s="6" t="s">
        <v>41</v>
      </c>
      <c r="B55" t="s">
        <v>44</v>
      </c>
    </row>
    <row r="56" spans="1:10" x14ac:dyDescent="0.35">
      <c r="A56" s="7" t="s">
        <v>8</v>
      </c>
      <c r="B56" s="9">
        <v>115</v>
      </c>
    </row>
    <row r="57" spans="1:10" x14ac:dyDescent="0.35">
      <c r="A57" s="8" t="s">
        <v>30</v>
      </c>
      <c r="B57" s="9">
        <v>4</v>
      </c>
    </row>
    <row r="58" spans="1:10" x14ac:dyDescent="0.35">
      <c r="A58" s="8" t="s">
        <v>26</v>
      </c>
      <c r="B58" s="9">
        <v>9</v>
      </c>
    </row>
    <row r="59" spans="1:10" x14ac:dyDescent="0.35">
      <c r="A59" s="8" t="s">
        <v>19</v>
      </c>
      <c r="B59" s="9">
        <v>6</v>
      </c>
    </row>
    <row r="60" spans="1:10" x14ac:dyDescent="0.35">
      <c r="A60" s="8" t="s">
        <v>23</v>
      </c>
      <c r="B60" s="9">
        <v>4</v>
      </c>
    </row>
    <row r="61" spans="1:10" x14ac:dyDescent="0.35">
      <c r="A61" s="8" t="s">
        <v>13</v>
      </c>
      <c r="B61" s="9">
        <v>4</v>
      </c>
    </row>
    <row r="62" spans="1:10" x14ac:dyDescent="0.35">
      <c r="A62" s="8" t="s">
        <v>33</v>
      </c>
      <c r="B62" s="9">
        <v>6</v>
      </c>
    </row>
    <row r="63" spans="1:10" x14ac:dyDescent="0.35">
      <c r="A63" s="8" t="s">
        <v>24</v>
      </c>
      <c r="B63" s="9">
        <v>7</v>
      </c>
    </row>
    <row r="64" spans="1:10" x14ac:dyDescent="0.35">
      <c r="A64" s="8" t="s">
        <v>29</v>
      </c>
      <c r="B64" s="9">
        <v>8</v>
      </c>
    </row>
    <row r="65" spans="1:2" x14ac:dyDescent="0.35">
      <c r="A65" s="8" t="s">
        <v>27</v>
      </c>
      <c r="B65" s="9">
        <v>8</v>
      </c>
    </row>
    <row r="66" spans="1:2" x14ac:dyDescent="0.35">
      <c r="A66" s="8" t="s">
        <v>21</v>
      </c>
      <c r="B66" s="9">
        <v>14</v>
      </c>
    </row>
    <row r="67" spans="1:2" x14ac:dyDescent="0.35">
      <c r="A67" s="8" t="s">
        <v>32</v>
      </c>
      <c r="B67" s="9">
        <v>11</v>
      </c>
    </row>
    <row r="68" spans="1:2" x14ac:dyDescent="0.35">
      <c r="A68" s="8" t="s">
        <v>9</v>
      </c>
      <c r="B68" s="9">
        <v>3</v>
      </c>
    </row>
    <row r="69" spans="1:2" x14ac:dyDescent="0.35">
      <c r="A69" s="8" t="s">
        <v>15</v>
      </c>
      <c r="B69" s="9">
        <v>12</v>
      </c>
    </row>
    <row r="70" spans="1:2" x14ac:dyDescent="0.35">
      <c r="A70" s="8" t="s">
        <v>7</v>
      </c>
      <c r="B70" s="9">
        <v>5</v>
      </c>
    </row>
    <row r="71" spans="1:2" x14ac:dyDescent="0.35">
      <c r="A71" s="8" t="s">
        <v>18</v>
      </c>
      <c r="B71" s="9">
        <v>14</v>
      </c>
    </row>
    <row r="72" spans="1:2" x14ac:dyDescent="0.35">
      <c r="A72" s="7" t="s">
        <v>11</v>
      </c>
      <c r="B72" s="9">
        <v>95</v>
      </c>
    </row>
    <row r="73" spans="1:2" x14ac:dyDescent="0.35">
      <c r="A73" s="8" t="s">
        <v>28</v>
      </c>
      <c r="B73" s="9">
        <v>10</v>
      </c>
    </row>
    <row r="74" spans="1:2" x14ac:dyDescent="0.35">
      <c r="A74" s="8" t="s">
        <v>34</v>
      </c>
      <c r="B74" s="9">
        <v>10</v>
      </c>
    </row>
    <row r="75" spans="1:2" x14ac:dyDescent="0.35">
      <c r="A75" s="8" t="s">
        <v>36</v>
      </c>
      <c r="B75" s="9">
        <v>11</v>
      </c>
    </row>
    <row r="76" spans="1:2" x14ac:dyDescent="0.35">
      <c r="A76" s="8" t="s">
        <v>16</v>
      </c>
      <c r="B76" s="9">
        <v>6</v>
      </c>
    </row>
    <row r="77" spans="1:2" x14ac:dyDescent="0.35">
      <c r="A77" s="8" t="s">
        <v>22</v>
      </c>
      <c r="B77" s="9">
        <v>10</v>
      </c>
    </row>
    <row r="78" spans="1:2" x14ac:dyDescent="0.35">
      <c r="A78" s="8" t="s">
        <v>25</v>
      </c>
      <c r="B78" s="9">
        <v>11</v>
      </c>
    </row>
    <row r="79" spans="1:2" x14ac:dyDescent="0.35">
      <c r="A79" s="8" t="s">
        <v>35</v>
      </c>
      <c r="B79" s="9">
        <v>5</v>
      </c>
    </row>
    <row r="80" spans="1:2" x14ac:dyDescent="0.35">
      <c r="A80" s="8" t="s">
        <v>10</v>
      </c>
      <c r="B80" s="9">
        <v>13</v>
      </c>
    </row>
    <row r="81" spans="1:7" x14ac:dyDescent="0.35">
      <c r="A81" s="8" t="s">
        <v>20</v>
      </c>
      <c r="B81" s="9">
        <v>10</v>
      </c>
    </row>
    <row r="82" spans="1:7" x14ac:dyDescent="0.35">
      <c r="A82" s="8" t="s">
        <v>31</v>
      </c>
      <c r="B82" s="9">
        <v>9</v>
      </c>
    </row>
    <row r="83" spans="1:7" x14ac:dyDescent="0.35">
      <c r="A83" s="7" t="s">
        <v>42</v>
      </c>
      <c r="B83" s="9">
        <v>210</v>
      </c>
    </row>
    <row r="88" spans="1:7" x14ac:dyDescent="0.35">
      <c r="C88" s="6" t="s">
        <v>41</v>
      </c>
      <c r="D88" t="s">
        <v>43</v>
      </c>
      <c r="F88" s="6" t="s">
        <v>41</v>
      </c>
      <c r="G88" t="s">
        <v>44</v>
      </c>
    </row>
    <row r="89" spans="1:7" x14ac:dyDescent="0.35">
      <c r="C89" s="7" t="s">
        <v>8</v>
      </c>
      <c r="D89" s="5">
        <v>20655</v>
      </c>
      <c r="F89" s="7" t="s">
        <v>8</v>
      </c>
      <c r="G89" s="9">
        <v>115</v>
      </c>
    </row>
    <row r="90" spans="1:7" x14ac:dyDescent="0.35">
      <c r="C90" s="7" t="s">
        <v>11</v>
      </c>
      <c r="D90" s="5">
        <v>6175</v>
      </c>
      <c r="F90" s="7" t="s">
        <v>11</v>
      </c>
      <c r="G90" s="9">
        <v>95</v>
      </c>
    </row>
    <row r="91" spans="1:7" x14ac:dyDescent="0.35">
      <c r="C91" s="7" t="s">
        <v>42</v>
      </c>
      <c r="D91" s="5">
        <v>26830</v>
      </c>
      <c r="F91" s="7" t="s">
        <v>42</v>
      </c>
      <c r="G91" s="9">
        <v>210</v>
      </c>
    </row>
    <row r="92" spans="1:7" x14ac:dyDescent="0.35">
      <c r="F92"/>
    </row>
    <row r="93" spans="1:7" x14ac:dyDescent="0.35">
      <c r="F93"/>
    </row>
    <row r="94" spans="1:7" x14ac:dyDescent="0.35">
      <c r="F94"/>
    </row>
    <row r="95" spans="1:7" x14ac:dyDescent="0.35">
      <c r="F95"/>
    </row>
    <row r="96" spans="1:7" x14ac:dyDescent="0.35">
      <c r="F96"/>
    </row>
    <row r="97" spans="6:6" x14ac:dyDescent="0.35">
      <c r="F97"/>
    </row>
    <row r="98" spans="6:6" x14ac:dyDescent="0.35">
      <c r="F98"/>
    </row>
    <row r="99" spans="6:6" x14ac:dyDescent="0.35">
      <c r="F99"/>
    </row>
    <row r="100" spans="6:6" x14ac:dyDescent="0.35">
      <c r="F100"/>
    </row>
    <row r="101" spans="6:6" x14ac:dyDescent="0.35">
      <c r="F101"/>
    </row>
    <row r="102" spans="6:6" x14ac:dyDescent="0.35">
      <c r="F102"/>
    </row>
    <row r="103" spans="6:6" x14ac:dyDescent="0.35">
      <c r="F103"/>
    </row>
    <row r="104" spans="6:6" x14ac:dyDescent="0.35">
      <c r="F104"/>
    </row>
    <row r="105" spans="6:6" x14ac:dyDescent="0.35">
      <c r="F105"/>
    </row>
    <row r="106" spans="6:6" x14ac:dyDescent="0.35">
      <c r="F106"/>
    </row>
  </sheetData>
  <pageMargins left="0.7" right="0.7" top="0.75" bottom="0.75" header="0.3" footer="0.3"/>
  <pageSetup paperSize="9" orientation="portrait" r:id="rId4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Hammaad Khan</cp:lastModifiedBy>
  <cp:revision/>
  <cp:lastPrinted>2026-03-25T00:28:58Z</cp:lastPrinted>
  <dcterms:created xsi:type="dcterms:W3CDTF">2026-03-23T03:59:23Z</dcterms:created>
  <dcterms:modified xsi:type="dcterms:W3CDTF">2026-03-25T02:05:02Z</dcterms:modified>
  <cp:category/>
  <cp:contentStatus/>
</cp:coreProperties>
</file>