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tisham Aziz\Desktop\Projects\Excel\Sales_Inventory_Analysis_Excel\data\"/>
    </mc:Choice>
  </mc:AlternateContent>
  <xr:revisionPtr revIDLastSave="0" documentId="13_ncr:1_{F4B4DE30-405D-4462-9453-5479F8ED7481}" xr6:coauthVersionLast="47" xr6:coauthVersionMax="47" xr10:uidLastSave="{00000000-0000-0000-0000-000000000000}"/>
  <bookViews>
    <workbookView xWindow="-110" yWindow="-110" windowWidth="19420" windowHeight="10300" tabRatio="513" activeTab="1" xr2:uid="{00000000-000D-0000-FFFF-FFFF00000000}"/>
  </bookViews>
  <sheets>
    <sheet name="Sheet1" sheetId="1" r:id="rId1"/>
    <sheet name="Sheet3" sheetId="3" r:id="rId2"/>
  </sheets>
  <calcPr calcId="191028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B3" i="1"/>
  <c r="B32" i="1"/>
  <c r="B46" i="1"/>
  <c r="B20" i="1"/>
  <c r="B40" i="1"/>
  <c r="B43" i="1"/>
  <c r="B15" i="1"/>
  <c r="B7" i="1"/>
  <c r="B37" i="1"/>
  <c r="B22" i="1"/>
  <c r="B51" i="1"/>
  <c r="B33" i="1"/>
  <c r="B4" i="1"/>
  <c r="B26" i="1"/>
  <c r="B16" i="1"/>
  <c r="B47" i="1"/>
  <c r="B29" i="1"/>
  <c r="B9" i="1"/>
  <c r="B11" i="1"/>
  <c r="B24" i="1"/>
  <c r="B49" i="1"/>
  <c r="B30" i="1"/>
  <c r="B18" i="1"/>
  <c r="B6" i="1"/>
  <c r="B41" i="1"/>
  <c r="B13" i="1"/>
  <c r="B45" i="1"/>
  <c r="B38" i="1"/>
  <c r="B5" i="1"/>
  <c r="B23" i="1"/>
  <c r="B34" i="1"/>
  <c r="B52" i="1"/>
  <c r="B12" i="1"/>
  <c r="B27" i="1"/>
  <c r="B2" i="1"/>
  <c r="B28" i="1"/>
  <c r="B14" i="1"/>
  <c r="B44" i="1"/>
  <c r="B25" i="1"/>
  <c r="B19" i="1"/>
  <c r="B10" i="1"/>
  <c r="B31" i="1"/>
  <c r="B50" i="1"/>
  <c r="B17" i="1"/>
  <c r="B42" i="1"/>
  <c r="B8" i="1"/>
  <c r="B36" i="1"/>
  <c r="B21" i="1"/>
  <c r="B48" i="1"/>
  <c r="B35" i="1"/>
  <c r="B39" i="1"/>
  <c r="I3" i="1"/>
  <c r="I32" i="1"/>
  <c r="I46" i="1"/>
  <c r="I20" i="1"/>
  <c r="I40" i="1"/>
  <c r="I43" i="1"/>
  <c r="I15" i="1"/>
  <c r="I7" i="1"/>
  <c r="I37" i="1"/>
  <c r="I22" i="1"/>
  <c r="I51" i="1"/>
  <c r="I33" i="1"/>
  <c r="I4" i="1"/>
  <c r="I26" i="1"/>
  <c r="I16" i="1"/>
  <c r="I47" i="1"/>
  <c r="I29" i="1"/>
  <c r="I9" i="1"/>
  <c r="I11" i="1"/>
  <c r="I24" i="1"/>
  <c r="I49" i="1"/>
  <c r="I30" i="1"/>
  <c r="I18" i="1"/>
  <c r="I6" i="1"/>
  <c r="I41" i="1"/>
  <c r="I13" i="1"/>
  <c r="I45" i="1"/>
  <c r="I38" i="1"/>
  <c r="I5" i="1"/>
  <c r="I23" i="1"/>
  <c r="I34" i="1"/>
  <c r="I52" i="1"/>
  <c r="I12" i="1"/>
  <c r="I27" i="1"/>
  <c r="I2" i="1"/>
  <c r="I28" i="1"/>
  <c r="I14" i="1"/>
  <c r="I44" i="1"/>
  <c r="I25" i="1"/>
  <c r="I19" i="1"/>
  <c r="I10" i="1"/>
  <c r="I31" i="1"/>
  <c r="I50" i="1"/>
  <c r="I17" i="1"/>
  <c r="I42" i="1"/>
  <c r="I8" i="1"/>
  <c r="I36" i="1"/>
  <c r="I21" i="1"/>
  <c r="I48" i="1"/>
  <c r="I35" i="1"/>
  <c r="I39" i="1"/>
</calcChain>
</file>

<file path=xl/sharedStrings.xml><?xml version="1.0" encoding="utf-8"?>
<sst xmlns="http://schemas.openxmlformats.org/spreadsheetml/2006/main" count="201" uniqueCount="45">
  <si>
    <t>Date</t>
  </si>
  <si>
    <t>Product</t>
  </si>
  <si>
    <t>Category</t>
  </si>
  <si>
    <t>Units Sold</t>
  </si>
  <si>
    <t>Unit Price</t>
  </si>
  <si>
    <t>Stock Level</t>
  </si>
  <si>
    <t>Supplier</t>
  </si>
  <si>
    <t>IKEA Markus Chair</t>
  </si>
  <si>
    <t>Furniture</t>
  </si>
  <si>
    <t>IKEA Lack Table</t>
  </si>
  <si>
    <t>Philips Hue White Lamp</t>
  </si>
  <si>
    <t>Lighting</t>
  </si>
  <si>
    <t>Philips</t>
  </si>
  <si>
    <t>Höffner Sofa Monaco</t>
  </si>
  <si>
    <t>Höffner</t>
  </si>
  <si>
    <t>IKEA Malm Bed Frame</t>
  </si>
  <si>
    <t>Eglo Pendulum Lamp</t>
  </si>
  <si>
    <t>Eglo</t>
  </si>
  <si>
    <t>IKEA Poäng Chair</t>
  </si>
  <si>
    <t>Höffner Dining Table Luna</t>
  </si>
  <si>
    <t>Philips LED Desk Lamp</t>
  </si>
  <si>
    <t>IKEA Kallax Shelf</t>
  </si>
  <si>
    <t>Eglo Wall Lamp Luminex</t>
  </si>
  <si>
    <t>Höffner Sofa Berlin</t>
  </si>
  <si>
    <t>IKEA Brimnes Wardrobe</t>
  </si>
  <si>
    <t>Philips Hue Color Lamp</t>
  </si>
  <si>
    <t>Höffner Coffee Table Nero</t>
  </si>
  <si>
    <t>IKEA Hemnes Dresser</t>
  </si>
  <si>
    <t>Eglo Ceiling Lamp Orion</t>
  </si>
  <si>
    <t>IKEA Fjällbo TV Bench</t>
  </si>
  <si>
    <t>Höffner Armchair Siena</t>
  </si>
  <si>
    <t>Philips LED Floor Lamp</t>
  </si>
  <si>
    <t>IKEA Lack Coffee Table</t>
  </si>
  <si>
    <t>Höffner Wardrobe Verona</t>
  </si>
  <si>
    <t>Eglo Desk Lamp Delta</t>
  </si>
  <si>
    <t>Philips Hue Outdoor Lamp</t>
  </si>
  <si>
    <t>Eglo Pendant Lamp Lux</t>
  </si>
  <si>
    <t>Total Sales</t>
  </si>
  <si>
    <t>Stock Status</t>
  </si>
  <si>
    <t>IKEA</t>
  </si>
  <si>
    <t>Month</t>
  </si>
  <si>
    <t>Row Labels</t>
  </si>
  <si>
    <t>Grand Total</t>
  </si>
  <si>
    <t>Sum of Total Sales</t>
  </si>
  <si>
    <t>Sum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</si>
</sst>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[$€-2]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5">
    <dxf>
      <numFmt numFmtId="0" formatCode="General"/>
    </dxf>
    <dxf>
      <numFmt numFmtId="164" formatCode="[$€-2]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€-2]\ #,##0.00"/>
    </dxf>
    <dxf>
      <numFmt numFmtId="19" formatCode="dd/mm/yyyy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[Pivottables.xlsx]Sheet1!PivotTable1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Sheet1!$L$2:$L$27</c:f>
              <c:strCache>
                <c:ptCount val="25"/>
                <c:pt idx="0">
                  <c:v>Eglo Ceiling Lamp Orion</c:v>
                </c:pt>
                <c:pt idx="1">
                  <c:v>Eglo Desk Lamp Delta</c:v>
                </c:pt>
                <c:pt idx="2">
                  <c:v>Eglo Pendant Lamp Lux</c:v>
                </c:pt>
                <c:pt idx="3">
                  <c:v>Eglo Pendulum Lamp</c:v>
                </c:pt>
                <c:pt idx="4">
                  <c:v>Eglo Wall Lamp Luminex</c:v>
                </c:pt>
                <c:pt idx="5">
                  <c:v>Höffner Armchair Siena</c:v>
                </c:pt>
                <c:pt idx="6">
                  <c:v>Höffner Coffee Table Nero</c:v>
                </c:pt>
                <c:pt idx="7">
                  <c:v>Höffner Dining Table Luna</c:v>
                </c:pt>
                <c:pt idx="8">
                  <c:v>Höffner Sofa Berlin</c:v>
                </c:pt>
                <c:pt idx="9">
                  <c:v>Höffner Sofa Monaco</c:v>
                </c:pt>
                <c:pt idx="10">
                  <c:v>Höffner Wardrobe Verona</c:v>
                </c:pt>
                <c:pt idx="11">
                  <c:v>IKEA Brimnes Wardrobe</c:v>
                </c:pt>
                <c:pt idx="12">
                  <c:v>IKEA Fjällbo TV Bench</c:v>
                </c:pt>
                <c:pt idx="13">
                  <c:v>IKEA Hemnes Dresser</c:v>
                </c:pt>
                <c:pt idx="14">
                  <c:v>IKEA Kallax Shelf</c:v>
                </c:pt>
                <c:pt idx="15">
                  <c:v>IKEA Lack Coffee Table</c:v>
                </c:pt>
                <c:pt idx="16">
                  <c:v>IKEA Lack Table</c:v>
                </c:pt>
                <c:pt idx="17">
                  <c:v>IKEA Malm Bed Frame</c:v>
                </c:pt>
                <c:pt idx="18">
                  <c:v>IKEA Markus Chair</c:v>
                </c:pt>
                <c:pt idx="19">
                  <c:v>IKEA Poäng Chair</c:v>
                </c:pt>
                <c:pt idx="20">
                  <c:v>Philips Hue Color Lamp</c:v>
                </c:pt>
                <c:pt idx="21">
                  <c:v>Philips Hue Outdoor Lamp</c:v>
                </c:pt>
                <c:pt idx="22">
                  <c:v>Philips Hue White Lamp</c:v>
                </c:pt>
                <c:pt idx="23">
                  <c:v>Philips LED Desk Lamp</c:v>
                </c:pt>
                <c:pt idx="24">
                  <c:v>Philips LED Floor Lamp</c:v>
                </c:pt>
              </c:strCache>
            </c:strRef>
          </c:cat>
          <c:val>
            <c:numRef>
              <c:f>Sheet1!$M$2:$M$27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6</c:v>
                </c:pt>
                <c:pt idx="4">
                  <c:v>10</c:v>
                </c:pt>
                <c:pt idx="5">
                  <c:v>4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14</c:v>
                </c:pt>
                <c:pt idx="15">
                  <c:v>11</c:v>
                </c:pt>
                <c:pt idx="16">
                  <c:v>3</c:v>
                </c:pt>
                <c:pt idx="17">
                  <c:v>12</c:v>
                </c:pt>
                <c:pt idx="18">
                  <c:v>5</c:v>
                </c:pt>
                <c:pt idx="19">
                  <c:v>14</c:v>
                </c:pt>
                <c:pt idx="20">
                  <c:v>11</c:v>
                </c:pt>
                <c:pt idx="21">
                  <c:v>5</c:v>
                </c:pt>
                <c:pt idx="22">
                  <c:v>13</c:v>
                </c:pt>
                <c:pt idx="23">
                  <c:v>10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4-45FE-A2B5-A4A1BE002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841599"/>
        <c:axId val="457842079"/>
      </c:barChart>
      <c:catAx>
        <c:axId val="45784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42079"/>
        <c:crosses val="autoZero"/>
        <c:auto val="1"/>
        <c:lblAlgn val="ctr"/>
        <c:lblOffset val="100"/>
        <c:noMultiLvlLbl val="0"/>
      </c:catAx>
      <c:valAx>
        <c:axId val="45784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4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[Pivottables.xlsx]Sheet1!PivotTable2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Sheet1!$M$32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AA-4421-97BC-54317000718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AA-4421-97BC-54317000718D}"/>
              </c:ext>
            </c:extLst>
          </c:dPt>
          <c:cat>
            <c:strRef>
              <c:f>Sheet1!$L$33:$L$35</c:f>
              <c:strCache>
                <c:ptCount val="2"/>
                <c:pt idx="0">
                  <c:v>Furniture</c:v>
                </c:pt>
                <c:pt idx="1">
                  <c:v>Lighting</c:v>
                </c:pt>
              </c:strCache>
            </c:strRef>
          </c:cat>
          <c:val>
            <c:numRef>
              <c:f>Sheet1!$M$33:$M$35</c:f>
              <c:numCache>
                <c:formatCode>[$€-2]\ #,##0.00</c:formatCode>
                <c:ptCount val="2"/>
                <c:pt idx="0">
                  <c:v>20655</c:v>
                </c:pt>
                <c:pt idx="1">
                  <c:v>6175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F-4908-80E6-1148B9B90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[Pivottables.xlsx]Sheet1!PivotTable3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Sheet1!$P$32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53-4BD7-AE8B-6AD2B0720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53-4BD7-AE8B-6AD2B072085F}"/>
              </c:ext>
            </c:extLst>
          </c:dPt>
          <c:cat>
            <c:strRef>
              <c:f>Sheet1!$O$33:$O$35</c:f>
              <c:strCache>
                <c:ptCount val="2"/>
                <c:pt idx="0">
                  <c:v>Furniture</c:v>
                </c:pt>
                <c:pt idx="1">
                  <c:v>Lighting</c:v>
                </c:pt>
              </c:strCache>
            </c:strRef>
          </c:cat>
          <c:val>
            <c:numRef>
              <c:f>Sheet1!$P$33:$P$35</c:f>
              <c:numCache>
                <c:formatCode>General</c:formatCode>
                <c:ptCount val="2"/>
                <c:pt idx="0">
                  <c:v>115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F-420D-AB21-0614E308D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[Pivottables.xlsx]Sheet1!PivotTable2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Sheet1!$M$32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18-4E19-BBFA-3F4C6BBACB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18-4E19-BBFA-3F4C6BBACBA2}"/>
              </c:ext>
            </c:extLst>
          </c:dPt>
          <c:cat>
            <c:strRef>
              <c:f>Sheet1!$L$33:$L$35</c:f>
              <c:strCache>
                <c:ptCount val="2"/>
                <c:pt idx="0">
                  <c:v>Furniture</c:v>
                </c:pt>
                <c:pt idx="1">
                  <c:v>Lighting</c:v>
                </c:pt>
              </c:strCache>
            </c:strRef>
          </c:cat>
          <c:val>
            <c:numRef>
              <c:f>Sheet1!$M$33:$M$35</c:f>
              <c:numCache>
                <c:formatCode>[$€-2]\ #,##0.00</c:formatCode>
                <c:ptCount val="2"/>
                <c:pt idx="0">
                  <c:v>20655</c:v>
                </c:pt>
                <c:pt idx="1">
                  <c:v>6175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18-4E19-BBFA-3F4C6BBAC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[Pivottables.xlsx]Sheet1!PivotTable3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Sheet1!$P$32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6F-4E08-8457-B5678446C5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6F-4E08-8457-B5678446C527}"/>
              </c:ext>
            </c:extLst>
          </c:dPt>
          <c:cat>
            <c:strRef>
              <c:f>Sheet1!$O$33:$O$35</c:f>
              <c:strCache>
                <c:ptCount val="2"/>
                <c:pt idx="0">
                  <c:v>Furniture</c:v>
                </c:pt>
                <c:pt idx="1">
                  <c:v>Lighting</c:v>
                </c:pt>
              </c:strCache>
            </c:strRef>
          </c:cat>
          <c:val>
            <c:numRef>
              <c:f>Sheet1!$P$33:$P$35</c:f>
              <c:numCache>
                <c:formatCode>General</c:formatCode>
                <c:ptCount val="2"/>
                <c:pt idx="0">
                  <c:v>115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6F-4E08-8457-B5678446C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[Pivottables.xlsx]Sheet1!PivotTable1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Sheet1!$L$2:$L$27</c:f>
              <c:strCache>
                <c:ptCount val="25"/>
                <c:pt idx="0">
                  <c:v>Eglo Ceiling Lamp Orion</c:v>
                </c:pt>
                <c:pt idx="1">
                  <c:v>Eglo Desk Lamp Delta</c:v>
                </c:pt>
                <c:pt idx="2">
                  <c:v>Eglo Pendant Lamp Lux</c:v>
                </c:pt>
                <c:pt idx="3">
                  <c:v>Eglo Pendulum Lamp</c:v>
                </c:pt>
                <c:pt idx="4">
                  <c:v>Eglo Wall Lamp Luminex</c:v>
                </c:pt>
                <c:pt idx="5">
                  <c:v>Höffner Armchair Siena</c:v>
                </c:pt>
                <c:pt idx="6">
                  <c:v>Höffner Coffee Table Nero</c:v>
                </c:pt>
                <c:pt idx="7">
                  <c:v>Höffner Dining Table Luna</c:v>
                </c:pt>
                <c:pt idx="8">
                  <c:v>Höffner Sofa Berlin</c:v>
                </c:pt>
                <c:pt idx="9">
                  <c:v>Höffner Sofa Monaco</c:v>
                </c:pt>
                <c:pt idx="10">
                  <c:v>Höffner Wardrobe Verona</c:v>
                </c:pt>
                <c:pt idx="11">
                  <c:v>IKEA Brimnes Wardrobe</c:v>
                </c:pt>
                <c:pt idx="12">
                  <c:v>IKEA Fjällbo TV Bench</c:v>
                </c:pt>
                <c:pt idx="13">
                  <c:v>IKEA Hemnes Dresser</c:v>
                </c:pt>
                <c:pt idx="14">
                  <c:v>IKEA Kallax Shelf</c:v>
                </c:pt>
                <c:pt idx="15">
                  <c:v>IKEA Lack Coffee Table</c:v>
                </c:pt>
                <c:pt idx="16">
                  <c:v>IKEA Lack Table</c:v>
                </c:pt>
                <c:pt idx="17">
                  <c:v>IKEA Malm Bed Frame</c:v>
                </c:pt>
                <c:pt idx="18">
                  <c:v>IKEA Markus Chair</c:v>
                </c:pt>
                <c:pt idx="19">
                  <c:v>IKEA Poäng Chair</c:v>
                </c:pt>
                <c:pt idx="20">
                  <c:v>Philips Hue Color Lamp</c:v>
                </c:pt>
                <c:pt idx="21">
                  <c:v>Philips Hue Outdoor Lamp</c:v>
                </c:pt>
                <c:pt idx="22">
                  <c:v>Philips Hue White Lamp</c:v>
                </c:pt>
                <c:pt idx="23">
                  <c:v>Philips LED Desk Lamp</c:v>
                </c:pt>
                <c:pt idx="24">
                  <c:v>Philips LED Floor Lamp</c:v>
                </c:pt>
              </c:strCache>
            </c:strRef>
          </c:cat>
          <c:val>
            <c:numRef>
              <c:f>Sheet1!$M$2:$M$27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6</c:v>
                </c:pt>
                <c:pt idx="4">
                  <c:v>10</c:v>
                </c:pt>
                <c:pt idx="5">
                  <c:v>4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8</c:v>
                </c:pt>
                <c:pt idx="14">
                  <c:v>14</c:v>
                </c:pt>
                <c:pt idx="15">
                  <c:v>11</c:v>
                </c:pt>
                <c:pt idx="16">
                  <c:v>3</c:v>
                </c:pt>
                <c:pt idx="17">
                  <c:v>12</c:v>
                </c:pt>
                <c:pt idx="18">
                  <c:v>5</c:v>
                </c:pt>
                <c:pt idx="19">
                  <c:v>14</c:v>
                </c:pt>
                <c:pt idx="20">
                  <c:v>11</c:v>
                </c:pt>
                <c:pt idx="21">
                  <c:v>5</c:v>
                </c:pt>
                <c:pt idx="22">
                  <c:v>13</c:v>
                </c:pt>
                <c:pt idx="23">
                  <c:v>10</c:v>
                </c:pt>
                <c:pt idx="2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E-4DE8-8CD2-B9F50A09C8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841599"/>
        <c:axId val="457842079"/>
      </c:barChart>
      <c:catAx>
        <c:axId val="45784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42079"/>
        <c:crosses val="autoZero"/>
        <c:auto val="1"/>
        <c:lblAlgn val="ctr"/>
        <c:lblOffset val="100"/>
        <c:noMultiLvlLbl val="0"/>
      </c:catAx>
      <c:valAx>
        <c:axId val="457842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84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12474</xdr:colOff>
      <xdr:row>0</xdr:row>
      <xdr:rowOff>0</xdr:rowOff>
    </xdr:from>
    <xdr:to>
      <xdr:col>26</xdr:col>
      <xdr:colOff>22111</xdr:colOff>
      <xdr:row>25</xdr:row>
      <xdr:rowOff>171508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6CF8A-A9F6-F101-F10C-F2EB382AA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1605353</xdr:colOff>
      <xdr:row>36</xdr:row>
      <xdr:rowOff>35491</xdr:rowOff>
    </xdr:from>
    <xdr:to>
      <xdr:col>12</xdr:col>
      <xdr:colOff>556393</xdr:colOff>
      <xdr:row>47</xdr:row>
      <xdr:rowOff>14236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F7740E-E671-1768-2349-65173C8A5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12987</xdr:colOff>
      <xdr:row>36</xdr:row>
      <xdr:rowOff>15674</xdr:rowOff>
    </xdr:from>
    <xdr:to>
      <xdr:col>17</xdr:col>
      <xdr:colOff>210511</xdr:colOff>
      <xdr:row>46</xdr:row>
      <xdr:rowOff>142799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99DF5F-0DB6-03B5-8EF2-2F44E978B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602602</xdr:colOff>
      <xdr:row>4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365768A-6683-28B8-0B3E-F87F04FCDE26}"/>
            </a:ext>
          </a:extLst>
        </xdr:cNvPr>
        <xdr:cNvSpPr/>
      </xdr:nvSpPr>
      <xdr:spPr>
        <a:xfrm>
          <a:off x="0" y="0"/>
          <a:ext cx="8520663" cy="72571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</xdr:colOff>
      <xdr:row>0</xdr:row>
      <xdr:rowOff>165100</xdr:rowOff>
    </xdr:from>
    <xdr:to>
      <xdr:col>13</xdr:col>
      <xdr:colOff>593224</xdr:colOff>
      <xdr:row>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3A2023-DB89-1998-6ECE-BE768AD9FCD3}"/>
            </a:ext>
          </a:extLst>
        </xdr:cNvPr>
        <xdr:cNvSpPr txBox="1"/>
      </xdr:nvSpPr>
      <xdr:spPr>
        <a:xfrm>
          <a:off x="1" y="165100"/>
          <a:ext cx="8522368" cy="386347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>
              <a:solidFill>
                <a:schemeClr val="bg1">
                  <a:lumMod val="95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Inventory Analysis Dashboard</a:t>
          </a:r>
        </a:p>
        <a:p>
          <a:pPr algn="ctr"/>
          <a:endParaRPr lang="en-GB" sz="1100"/>
        </a:p>
      </xdr:txBody>
    </xdr:sp>
    <xdr:clientData/>
  </xdr:twoCellAnchor>
  <xdr:twoCellAnchor>
    <xdr:from>
      <xdr:col>9</xdr:col>
      <xdr:colOff>82550</xdr:colOff>
      <xdr:row>13</xdr:row>
      <xdr:rowOff>0</xdr:rowOff>
    </xdr:from>
    <xdr:to>
      <xdr:col>14</xdr:col>
      <xdr:colOff>0</xdr:colOff>
      <xdr:row>23</xdr:row>
      <xdr:rowOff>177799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75BC78-1A69-4905-AF2A-E938B7FFB4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57150</xdr:colOff>
      <xdr:row>4</xdr:row>
      <xdr:rowOff>19051</xdr:rowOff>
    </xdr:from>
    <xdr:to>
      <xdr:col>14</xdr:col>
      <xdr:colOff>0</xdr:colOff>
      <xdr:row>13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C6611F6-278B-4B8C-9A40-E55730B374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4</xdr:row>
      <xdr:rowOff>12700</xdr:rowOff>
    </xdr:from>
    <xdr:to>
      <xdr:col>9</xdr:col>
      <xdr:colOff>76200</xdr:colOff>
      <xdr:row>23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F88639-DE97-489B-915F-F4322C02E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mmaad Khan" refreshedDate="46106.070706018516" createdVersion="8" refreshedVersion="8" minRefreshableVersion="3" recordCount="51" xr:uid="{CF3BF7DD-C6E5-43C9-8677-56BAC1941A5F}">
  <cacheSource type="worksheet">
    <worksheetSource name="Table1"/>
  </cacheSource>
  <cacheFields count="12">
    <cacheField name="Date" numFmtId="14">
      <sharedItems containsSemiMixedTypes="0" containsNonDate="0" containsDate="1" containsString="0" minDate="2026-01-01T00:00:00" maxDate="2026-02-21T00:00:00" count="51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</sharedItems>
      <fieldGroup par="11"/>
    </cacheField>
    <cacheField name="Month" numFmtId="14">
      <sharedItems/>
    </cacheField>
    <cacheField name="Product" numFmtId="0">
      <sharedItems count="25">
        <s v="IKEA Markus Chair"/>
        <s v="IKEA Lack Table"/>
        <s v="Philips Hue White Lamp"/>
        <s v="Höffner Sofa Monaco"/>
        <s v="IKEA Malm Bed Frame"/>
        <s v="Eglo Pendulum Lamp"/>
        <s v="IKEA Poäng Chair"/>
        <s v="Höffner Dining Table Luna"/>
        <s v="Philips LED Desk Lamp"/>
        <s v="IKEA Kallax Shelf"/>
        <s v="Eglo Wall Lamp Luminex"/>
        <s v="Höffner Sofa Berlin"/>
        <s v="IKEA Brimnes Wardrobe"/>
        <s v="Philips Hue Color Lamp"/>
        <s v="Höffner Coffee Table Nero"/>
        <s v="IKEA Hemnes Dresser"/>
        <s v="Eglo Ceiling Lamp Orion"/>
        <s v="IKEA Fjällbo TV Bench"/>
        <s v="Höffner Armchair Siena"/>
        <s v="Philips LED Floor Lamp"/>
        <s v="IKEA Lack Coffee Table"/>
        <s v="Höffner Wardrobe Verona"/>
        <s v="Eglo Desk Lamp Delta"/>
        <s v="Philips Hue Outdoor Lamp"/>
        <s v="Eglo Pendant Lamp Lux"/>
      </sharedItems>
    </cacheField>
    <cacheField name="Category" numFmtId="0">
      <sharedItems count="2">
        <s v="Furniture"/>
        <s v="Lighting"/>
      </sharedItems>
    </cacheField>
    <cacheField name="Units Sold" numFmtId="0">
      <sharedItems containsSemiMixedTypes="0" containsString="0" containsNumber="1" containsInteger="1" minValue="2" maxValue="7"/>
    </cacheField>
    <cacheField name="Unit Price" numFmtId="164">
      <sharedItems containsSemiMixedTypes="0" containsString="0" containsNumber="1" containsInteger="1" minValue="29" maxValue="599"/>
    </cacheField>
    <cacheField name="Stock Level" numFmtId="0">
      <sharedItems containsSemiMixedTypes="0" containsString="0" containsNumber="1" containsInteger="1" minValue="6" maxValue="25" count="11">
        <n v="20"/>
        <n v="15"/>
        <n v="25"/>
        <n v="10"/>
        <n v="12"/>
        <n v="18"/>
        <n v="22"/>
        <n v="8"/>
        <n v="14"/>
        <n v="6"/>
        <n v="16"/>
      </sharedItems>
    </cacheField>
    <cacheField name="Supplier" numFmtId="0">
      <sharedItems/>
    </cacheField>
    <cacheField name="Total Sales" numFmtId="164">
      <sharedItems containsSemiMixedTypes="0" containsString="0" containsNumber="1" containsInteger="1" minValue="116" maxValue="1596"/>
    </cacheField>
    <cacheField name="Stock Status" numFmtId="0">
      <sharedItems count="2">
        <s v="OK"/>
        <s v="Low"/>
      </sharedItems>
    </cacheField>
    <cacheField name="Days (Date)" numFmtId="0" databaseField="0">
      <fieldGroup base="0">
        <rangePr groupBy="days" startDate="2026-01-01T00:00:00" endDate="2026-02-21T00:00:00"/>
        <groupItems count="368">
          <s v="&lt;01/01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1/02/2026"/>
        </groupItems>
      </fieldGroup>
    </cacheField>
    <cacheField name="Months (Date)" numFmtId="0" databaseField="0">
      <fieldGroup base="0">
        <rangePr groupBy="months" startDate="2026-01-01T00:00:00" endDate="2026-02-21T00:00:00"/>
        <groupItems count="14">
          <s v="&lt;01/0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1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s v="Jan"/>
    <x v="0"/>
    <x v="0"/>
    <n v="5"/>
    <n v="199"/>
    <x v="0"/>
    <s v="IKEA"/>
    <n v="995"/>
    <x v="0"/>
  </r>
  <r>
    <x v="1"/>
    <s v="Jan"/>
    <x v="1"/>
    <x v="0"/>
    <n v="3"/>
    <n v="39"/>
    <x v="1"/>
    <s v="IKEA"/>
    <n v="117"/>
    <x v="0"/>
  </r>
  <r>
    <x v="2"/>
    <s v="Jan"/>
    <x v="2"/>
    <x v="1"/>
    <n v="7"/>
    <n v="49"/>
    <x v="2"/>
    <s v="Philips"/>
    <n v="343"/>
    <x v="0"/>
  </r>
  <r>
    <x v="3"/>
    <s v="Jan"/>
    <x v="3"/>
    <x v="0"/>
    <n v="2"/>
    <n v="599"/>
    <x v="3"/>
    <s v="Höffner"/>
    <n v="1198"/>
    <x v="0"/>
  </r>
  <r>
    <x v="4"/>
    <s v="Jan"/>
    <x v="4"/>
    <x v="0"/>
    <n v="4"/>
    <n v="249"/>
    <x v="4"/>
    <s v="IKEA"/>
    <n v="996"/>
    <x v="0"/>
  </r>
  <r>
    <x v="5"/>
    <s v="Jan"/>
    <x v="5"/>
    <x v="1"/>
    <n v="6"/>
    <n v="79"/>
    <x v="5"/>
    <s v="Eglo"/>
    <n v="474"/>
    <x v="0"/>
  </r>
  <r>
    <x v="6"/>
    <s v="Jan"/>
    <x v="6"/>
    <x v="0"/>
    <n v="5"/>
    <n v="89"/>
    <x v="6"/>
    <s v="IKEA"/>
    <n v="445"/>
    <x v="0"/>
  </r>
  <r>
    <x v="7"/>
    <s v="Jan"/>
    <x v="7"/>
    <x v="0"/>
    <n v="3"/>
    <n v="349"/>
    <x v="1"/>
    <s v="Höffner"/>
    <n v="1047"/>
    <x v="0"/>
  </r>
  <r>
    <x v="8"/>
    <s v="Jan"/>
    <x v="8"/>
    <x v="1"/>
    <n v="4"/>
    <n v="29"/>
    <x v="0"/>
    <s v="Philips"/>
    <n v="116"/>
    <x v="0"/>
  </r>
  <r>
    <x v="9"/>
    <s v="Jan"/>
    <x v="9"/>
    <x v="0"/>
    <n v="6"/>
    <n v="69"/>
    <x v="5"/>
    <s v="IKEA"/>
    <n v="414"/>
    <x v="0"/>
  </r>
  <r>
    <x v="10"/>
    <s v="Jan"/>
    <x v="10"/>
    <x v="1"/>
    <n v="5"/>
    <n v="59"/>
    <x v="1"/>
    <s v="Eglo"/>
    <n v="295"/>
    <x v="0"/>
  </r>
  <r>
    <x v="11"/>
    <s v="Jan"/>
    <x v="11"/>
    <x v="0"/>
    <n v="2"/>
    <n v="499"/>
    <x v="7"/>
    <s v="Höffner"/>
    <n v="998"/>
    <x v="1"/>
  </r>
  <r>
    <x v="12"/>
    <s v="Jan"/>
    <x v="12"/>
    <x v="0"/>
    <n v="4"/>
    <n v="179"/>
    <x v="8"/>
    <s v="IKEA"/>
    <n v="716"/>
    <x v="0"/>
  </r>
  <r>
    <x v="13"/>
    <s v="Jan"/>
    <x v="13"/>
    <x v="1"/>
    <n v="7"/>
    <n v="69"/>
    <x v="0"/>
    <s v="Philips"/>
    <n v="483"/>
    <x v="0"/>
  </r>
  <r>
    <x v="14"/>
    <s v="Jan"/>
    <x v="14"/>
    <x v="0"/>
    <n v="3"/>
    <n v="129"/>
    <x v="3"/>
    <s v="Höffner"/>
    <n v="387"/>
    <x v="0"/>
  </r>
  <r>
    <x v="15"/>
    <s v="Jan"/>
    <x v="15"/>
    <x v="0"/>
    <n v="4"/>
    <n v="149"/>
    <x v="1"/>
    <s v="IKEA"/>
    <n v="596"/>
    <x v="0"/>
  </r>
  <r>
    <x v="16"/>
    <s v="Jan"/>
    <x v="16"/>
    <x v="1"/>
    <n v="5"/>
    <n v="89"/>
    <x v="4"/>
    <s v="Eglo"/>
    <n v="445"/>
    <x v="0"/>
  </r>
  <r>
    <x v="17"/>
    <s v="Jan"/>
    <x v="17"/>
    <x v="0"/>
    <n v="3"/>
    <n v="79"/>
    <x v="5"/>
    <s v="IKEA"/>
    <n v="237"/>
    <x v="0"/>
  </r>
  <r>
    <x v="18"/>
    <s v="Jan"/>
    <x v="18"/>
    <x v="0"/>
    <n v="2"/>
    <n v="199"/>
    <x v="7"/>
    <s v="Höffner"/>
    <n v="398"/>
    <x v="1"/>
  </r>
  <r>
    <x v="19"/>
    <s v="Jan"/>
    <x v="19"/>
    <x v="1"/>
    <n v="6"/>
    <n v="99"/>
    <x v="0"/>
    <s v="Philips"/>
    <n v="594"/>
    <x v="0"/>
  </r>
  <r>
    <x v="20"/>
    <s v="Jan"/>
    <x v="20"/>
    <x v="0"/>
    <n v="5"/>
    <n v="39"/>
    <x v="6"/>
    <s v="IKEA"/>
    <n v="195"/>
    <x v="0"/>
  </r>
  <r>
    <x v="21"/>
    <s v="Jan"/>
    <x v="21"/>
    <x v="0"/>
    <n v="4"/>
    <n v="399"/>
    <x v="3"/>
    <s v="Höffner"/>
    <n v="1596"/>
    <x v="0"/>
  </r>
  <r>
    <x v="22"/>
    <s v="Jan"/>
    <x v="22"/>
    <x v="1"/>
    <n v="6"/>
    <n v="49"/>
    <x v="1"/>
    <s v="Eglo"/>
    <n v="294"/>
    <x v="0"/>
  </r>
  <r>
    <x v="23"/>
    <s v="Jan"/>
    <x v="4"/>
    <x v="0"/>
    <n v="3"/>
    <n v="249"/>
    <x v="8"/>
    <s v="IKEA"/>
    <n v="747"/>
    <x v="0"/>
  </r>
  <r>
    <x v="24"/>
    <s v="Jan"/>
    <x v="23"/>
    <x v="1"/>
    <n v="2"/>
    <n v="79"/>
    <x v="4"/>
    <s v="Philips"/>
    <n v="158"/>
    <x v="0"/>
  </r>
  <r>
    <x v="25"/>
    <s v="Jan"/>
    <x v="14"/>
    <x v="0"/>
    <n v="3"/>
    <n v="129"/>
    <x v="7"/>
    <s v="Höffner"/>
    <n v="387"/>
    <x v="1"/>
  </r>
  <r>
    <x v="26"/>
    <s v="Jan"/>
    <x v="6"/>
    <x v="0"/>
    <n v="4"/>
    <n v="89"/>
    <x v="0"/>
    <s v="IKEA"/>
    <n v="356"/>
    <x v="0"/>
  </r>
  <r>
    <x v="27"/>
    <s v="Jan"/>
    <x v="24"/>
    <x v="1"/>
    <n v="5"/>
    <n v="69"/>
    <x v="8"/>
    <s v="Eglo"/>
    <n v="345"/>
    <x v="0"/>
  </r>
  <r>
    <x v="28"/>
    <s v="Jan"/>
    <x v="11"/>
    <x v="0"/>
    <n v="2"/>
    <n v="499"/>
    <x v="9"/>
    <s v="Höffner"/>
    <n v="998"/>
    <x v="1"/>
  </r>
  <r>
    <x v="29"/>
    <s v="Jan"/>
    <x v="9"/>
    <x v="0"/>
    <n v="4"/>
    <n v="69"/>
    <x v="4"/>
    <s v="IKEA"/>
    <n v="276"/>
    <x v="0"/>
  </r>
  <r>
    <x v="30"/>
    <s v="Jan"/>
    <x v="8"/>
    <x v="1"/>
    <n v="6"/>
    <n v="29"/>
    <x v="1"/>
    <s v="Philips"/>
    <n v="174"/>
    <x v="0"/>
  </r>
  <r>
    <x v="31"/>
    <s v="Feb"/>
    <x v="12"/>
    <x v="0"/>
    <n v="3"/>
    <n v="179"/>
    <x v="3"/>
    <s v="IKEA"/>
    <n v="537"/>
    <x v="0"/>
  </r>
  <r>
    <x v="32"/>
    <s v="Feb"/>
    <x v="18"/>
    <x v="0"/>
    <n v="2"/>
    <n v="199"/>
    <x v="9"/>
    <s v="Höffner"/>
    <n v="398"/>
    <x v="1"/>
  </r>
  <r>
    <x v="33"/>
    <s v="Feb"/>
    <x v="10"/>
    <x v="1"/>
    <n v="5"/>
    <n v="59"/>
    <x v="4"/>
    <s v="Eglo"/>
    <n v="295"/>
    <x v="0"/>
  </r>
  <r>
    <x v="34"/>
    <s v="Feb"/>
    <x v="15"/>
    <x v="0"/>
    <n v="4"/>
    <n v="149"/>
    <x v="1"/>
    <s v="IKEA"/>
    <n v="596"/>
    <x v="0"/>
  </r>
  <r>
    <x v="35"/>
    <s v="Feb"/>
    <x v="2"/>
    <x v="1"/>
    <n v="6"/>
    <n v="49"/>
    <x v="5"/>
    <s v="Philips"/>
    <n v="294"/>
    <x v="0"/>
  </r>
  <r>
    <x v="36"/>
    <s v="Feb"/>
    <x v="7"/>
    <x v="0"/>
    <n v="3"/>
    <n v="349"/>
    <x v="3"/>
    <s v="Höffner"/>
    <n v="1047"/>
    <x v="0"/>
  </r>
  <r>
    <x v="37"/>
    <s v="Feb"/>
    <x v="17"/>
    <x v="0"/>
    <n v="5"/>
    <n v="79"/>
    <x v="8"/>
    <s v="IKEA"/>
    <n v="395"/>
    <x v="0"/>
  </r>
  <r>
    <x v="38"/>
    <s v="Feb"/>
    <x v="22"/>
    <x v="1"/>
    <n v="4"/>
    <n v="49"/>
    <x v="4"/>
    <s v="Eglo"/>
    <n v="196"/>
    <x v="0"/>
  </r>
  <r>
    <x v="39"/>
    <s v="Feb"/>
    <x v="20"/>
    <x v="0"/>
    <n v="6"/>
    <n v="39"/>
    <x v="0"/>
    <s v="IKEA"/>
    <n v="234"/>
    <x v="0"/>
  </r>
  <r>
    <x v="40"/>
    <s v="Feb"/>
    <x v="19"/>
    <x v="1"/>
    <n v="3"/>
    <n v="99"/>
    <x v="5"/>
    <s v="Philips"/>
    <n v="297"/>
    <x v="0"/>
  </r>
  <r>
    <x v="41"/>
    <s v="Feb"/>
    <x v="21"/>
    <x v="0"/>
    <n v="2"/>
    <n v="399"/>
    <x v="7"/>
    <s v="Höffner"/>
    <n v="798"/>
    <x v="1"/>
  </r>
  <r>
    <x v="42"/>
    <s v="Feb"/>
    <x v="4"/>
    <x v="0"/>
    <n v="5"/>
    <n v="249"/>
    <x v="4"/>
    <s v="IKEA"/>
    <n v="1245"/>
    <x v="0"/>
  </r>
  <r>
    <x v="43"/>
    <s v="Feb"/>
    <x v="24"/>
    <x v="1"/>
    <n v="6"/>
    <n v="69"/>
    <x v="10"/>
    <s v="Eglo"/>
    <n v="414"/>
    <x v="0"/>
  </r>
  <r>
    <x v="44"/>
    <s v="Feb"/>
    <x v="14"/>
    <x v="0"/>
    <n v="3"/>
    <n v="129"/>
    <x v="3"/>
    <s v="Höffner"/>
    <n v="387"/>
    <x v="0"/>
  </r>
  <r>
    <x v="45"/>
    <s v="Feb"/>
    <x v="13"/>
    <x v="1"/>
    <n v="4"/>
    <n v="69"/>
    <x v="8"/>
    <s v="Philips"/>
    <n v="276"/>
    <x v="0"/>
  </r>
  <r>
    <x v="46"/>
    <s v="Feb"/>
    <x v="6"/>
    <x v="0"/>
    <n v="5"/>
    <n v="89"/>
    <x v="1"/>
    <s v="IKEA"/>
    <n v="445"/>
    <x v="0"/>
  </r>
  <r>
    <x v="47"/>
    <s v="Feb"/>
    <x v="3"/>
    <x v="0"/>
    <n v="2"/>
    <n v="599"/>
    <x v="9"/>
    <s v="Höffner"/>
    <n v="1198"/>
    <x v="1"/>
  </r>
  <r>
    <x v="48"/>
    <s v="Feb"/>
    <x v="23"/>
    <x v="1"/>
    <n v="3"/>
    <n v="79"/>
    <x v="4"/>
    <s v="Philips"/>
    <n v="237"/>
    <x v="0"/>
  </r>
  <r>
    <x v="49"/>
    <s v="Feb"/>
    <x v="9"/>
    <x v="0"/>
    <n v="4"/>
    <n v="69"/>
    <x v="5"/>
    <s v="IKEA"/>
    <n v="276"/>
    <x v="0"/>
  </r>
  <r>
    <x v="50"/>
    <s v="Feb"/>
    <x v="16"/>
    <x v="1"/>
    <n v="5"/>
    <n v="89"/>
    <x v="8"/>
    <s v="Eglo"/>
    <n v="44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F38653-B820-4426-BED9-855FBF3084E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L1:M27" firstHeaderRow="1" firstDataRow="1" firstDataCol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axis="axisRow" showAll="0">
      <items count="26">
        <item x="16"/>
        <item x="22"/>
        <item x="24"/>
        <item x="5"/>
        <item x="10"/>
        <item x="18"/>
        <item x="14"/>
        <item x="7"/>
        <item x="11"/>
        <item x="3"/>
        <item x="21"/>
        <item x="12"/>
        <item x="17"/>
        <item x="15"/>
        <item x="9"/>
        <item x="20"/>
        <item x="1"/>
        <item x="4"/>
        <item x="0"/>
        <item x="6"/>
        <item x="13"/>
        <item x="23"/>
        <item x="2"/>
        <item x="8"/>
        <item x="19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Units Sold" fld="4" baseField="0" baseItem="0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2036B0-7B6E-46B5-9F86-6B38EB4F209B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O32:P35" firstHeaderRow="1" firstDataRow="1" firstDataCol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numFmtId="164" showAll="0"/>
    <pivotField showAll="0"/>
    <pivotField showAll="0"/>
    <pivotField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Units Sold" fld="4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E048A0-658E-41DC-93E8-C9F69409461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L32:M35" firstHeaderRow="1" firstDataRow="1" firstDataCol="1"/>
  <pivotFields count="12">
    <pivotField numFmtId="14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  <pivotField showAll="0"/>
    <pivotField dataField="1" numFmtId="164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Sales" fld="8" baseField="0" baseItem="0" numFmtId="164"/>
  </dataFields>
  <chartFormats count="6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DCB454-8D97-4D0B-8661-5AA99129B19F}" name="Table1" displayName="Table1" ref="A1:J52" totalsRowShown="0">
  <autoFilter ref="A1:J52" xr:uid="{20DCB454-8D97-4D0B-8661-5AA99129B19F}"/>
  <sortState xmlns:xlrd2="http://schemas.microsoft.com/office/spreadsheetml/2017/richdata2" ref="A2:J52">
    <sortCondition ref="C1:C52"/>
  </sortState>
  <tableColumns count="10">
    <tableColumn id="1" xr3:uid="{566F44B3-DEA3-405C-A9FB-691BF707E03B}" name="Date" dataDxfId="4"/>
    <tableColumn id="2" xr3:uid="{E7706D83-2D29-4D30-887E-281A165230FB}" name="Month" dataDxfId="3">
      <calculatedColumnFormula>TEXT(A2, "MMM")</calculatedColumnFormula>
    </tableColumn>
    <tableColumn id="3" xr3:uid="{4084A554-FF0A-4FB5-B449-BA171E9A0C54}" name="Product"/>
    <tableColumn id="4" xr3:uid="{8048000C-1EBF-4E42-A6D0-948E18D13E79}" name="Category"/>
    <tableColumn id="5" xr3:uid="{F7A8CED0-F2F3-4471-A0F9-A53EAC89003D}" name="Units Sold"/>
    <tableColumn id="6" xr3:uid="{673BF471-126B-4CEC-8B36-85AD609BAD90}" name="Unit Price" dataDxfId="2" dataCellStyle="Currency"/>
    <tableColumn id="7" xr3:uid="{554DAEDF-3140-4382-9B2B-C7065B1BDD2C}" name="Stock Level"/>
    <tableColumn id="8" xr3:uid="{04EEBE3A-4984-4A2C-BE75-15231AFFEFF6}" name="Supplier"/>
    <tableColumn id="9" xr3:uid="{13FBDC4D-B1F7-4CEF-AE91-C06C31615675}" name="Total Sales" dataDxfId="1">
      <calculatedColumnFormula>E2*F2</calculatedColumnFormula>
    </tableColumn>
    <tableColumn id="10" xr3:uid="{06357EF9-C790-46D2-A341-6D4C96A340F4}" name="Stock Status" dataDxfId="0">
      <calculatedColumnFormula>IF(G2&lt;20,"Low","OK")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6"/>
  <sheetViews>
    <sheetView topLeftCell="H1" zoomScaleNormal="100" workbookViewId="0">
      <selection activeCell="L1" sqref="L1"/>
    </sheetView>
  </sheetViews>
  <sheetFormatPr defaultRowHeight="14.5" x14ac:dyDescent="0.35"/>
  <cols>
    <col min="1" max="1" width="12.90625" customWidth="1"/>
    <col min="2" max="2" width="7.1796875" customWidth="1"/>
    <col min="3" max="3" width="29.1796875" customWidth="1"/>
    <col min="4" max="4" width="10.7265625" bestFit="1" customWidth="1"/>
    <col min="5" max="5" width="15.6328125" bestFit="1" customWidth="1"/>
    <col min="6" max="6" width="13.26953125" style="5" bestFit="1" customWidth="1"/>
    <col min="7" max="7" width="15.6328125" bestFit="1" customWidth="1"/>
    <col min="8" max="8" width="16.90625" customWidth="1"/>
    <col min="9" max="9" width="11.7265625" style="5" customWidth="1"/>
    <col min="10" max="10" width="13.08984375" customWidth="1"/>
    <col min="11" max="12" width="23" bestFit="1" customWidth="1"/>
    <col min="13" max="13" width="15.453125" bestFit="1" customWidth="1"/>
    <col min="14" max="14" width="3.81640625" bestFit="1" customWidth="1"/>
    <col min="15" max="15" width="10.7265625" bestFit="1" customWidth="1"/>
    <col min="16" max="16" width="26.90625" customWidth="1"/>
    <col min="17" max="17" width="12.90625" customWidth="1"/>
    <col min="18" max="18" width="13.6328125" customWidth="1"/>
    <col min="19" max="19" width="2.81640625" bestFit="1" customWidth="1"/>
    <col min="20" max="20" width="11.90625" customWidth="1"/>
    <col min="21" max="23" width="2.81640625" bestFit="1" customWidth="1"/>
    <col min="24" max="24" width="10.81640625" bestFit="1" customWidth="1"/>
  </cols>
  <sheetData>
    <row r="1" spans="1:13" x14ac:dyDescent="0.35">
      <c r="A1" s="1" t="s">
        <v>0</v>
      </c>
      <c r="B1" s="1" t="s">
        <v>40</v>
      </c>
      <c r="C1" s="1" t="s">
        <v>1</v>
      </c>
      <c r="D1" s="1" t="s">
        <v>2</v>
      </c>
      <c r="E1" s="1" t="s">
        <v>3</v>
      </c>
      <c r="F1" s="3" t="s">
        <v>4</v>
      </c>
      <c r="G1" s="1" t="s">
        <v>5</v>
      </c>
      <c r="H1" s="1" t="s">
        <v>6</v>
      </c>
      <c r="I1" s="5" t="s">
        <v>37</v>
      </c>
      <c r="J1" t="s">
        <v>38</v>
      </c>
      <c r="L1" s="6" t="s">
        <v>41</v>
      </c>
      <c r="M1" t="s">
        <v>44</v>
      </c>
    </row>
    <row r="2" spans="1:13" x14ac:dyDescent="0.35">
      <c r="A2" s="2">
        <v>46039</v>
      </c>
      <c r="B2" s="2" t="str">
        <f>TEXT(A2, "MMM")</f>
        <v>Jan</v>
      </c>
      <c r="C2" t="s">
        <v>28</v>
      </c>
      <c r="D2" t="s">
        <v>11</v>
      </c>
      <c r="E2">
        <v>5</v>
      </c>
      <c r="F2" s="4">
        <v>89</v>
      </c>
      <c r="G2">
        <v>12</v>
      </c>
      <c r="H2" t="s">
        <v>17</v>
      </c>
      <c r="I2" s="5">
        <f>E2*F2</f>
        <v>445</v>
      </c>
      <c r="J2" t="str">
        <f t="shared" ref="J2:J33" si="0">IF(G2&lt;20,"Low","OK")</f>
        <v>Low</v>
      </c>
      <c r="L2" s="7" t="s">
        <v>28</v>
      </c>
      <c r="M2" s="8">
        <v>10</v>
      </c>
    </row>
    <row r="3" spans="1:13" x14ac:dyDescent="0.35">
      <c r="A3" s="2">
        <v>46073</v>
      </c>
      <c r="B3" s="2" t="str">
        <f>TEXT(A3, "MMM")</f>
        <v>Feb</v>
      </c>
      <c r="C3" t="s">
        <v>28</v>
      </c>
      <c r="D3" t="s">
        <v>11</v>
      </c>
      <c r="E3">
        <v>5</v>
      </c>
      <c r="F3" s="4">
        <v>89</v>
      </c>
      <c r="G3">
        <v>14</v>
      </c>
      <c r="H3" t="s">
        <v>17</v>
      </c>
      <c r="I3" s="5">
        <f>E3*F3</f>
        <v>445</v>
      </c>
      <c r="J3" t="str">
        <f t="shared" si="0"/>
        <v>Low</v>
      </c>
      <c r="L3" s="7" t="s">
        <v>34</v>
      </c>
      <c r="M3" s="8">
        <v>10</v>
      </c>
    </row>
    <row r="4" spans="1:13" x14ac:dyDescent="0.35">
      <c r="A4" s="2">
        <v>46061</v>
      </c>
      <c r="B4" s="2" t="str">
        <f>TEXT(A4, "MMM")</f>
        <v>Feb</v>
      </c>
      <c r="C4" t="s">
        <v>34</v>
      </c>
      <c r="D4" t="s">
        <v>11</v>
      </c>
      <c r="E4">
        <v>4</v>
      </c>
      <c r="F4" s="4">
        <v>49</v>
      </c>
      <c r="G4">
        <v>12</v>
      </c>
      <c r="H4" t="s">
        <v>17</v>
      </c>
      <c r="I4" s="5">
        <f>E4*F4</f>
        <v>196</v>
      </c>
      <c r="J4" t="str">
        <f t="shared" si="0"/>
        <v>Low</v>
      </c>
      <c r="L4" s="7" t="s">
        <v>36</v>
      </c>
      <c r="M4" s="8">
        <v>11</v>
      </c>
    </row>
    <row r="5" spans="1:13" x14ac:dyDescent="0.35">
      <c r="A5" s="2">
        <v>46045</v>
      </c>
      <c r="B5" s="2" t="str">
        <f>TEXT(A5, "MMM")</f>
        <v>Jan</v>
      </c>
      <c r="C5" t="s">
        <v>34</v>
      </c>
      <c r="D5" t="s">
        <v>11</v>
      </c>
      <c r="E5">
        <v>6</v>
      </c>
      <c r="F5" s="4">
        <v>49</v>
      </c>
      <c r="G5">
        <v>15</v>
      </c>
      <c r="H5" t="s">
        <v>17</v>
      </c>
      <c r="I5" s="5">
        <f>E5*F5</f>
        <v>294</v>
      </c>
      <c r="J5" t="str">
        <f t="shared" si="0"/>
        <v>Low</v>
      </c>
      <c r="L5" s="7" t="s">
        <v>16</v>
      </c>
      <c r="M5" s="8">
        <v>6</v>
      </c>
    </row>
    <row r="6" spans="1:13" x14ac:dyDescent="0.35">
      <c r="A6" s="2">
        <v>46050</v>
      </c>
      <c r="B6" s="2" t="str">
        <f>TEXT(A6, "MMM")</f>
        <v>Jan</v>
      </c>
      <c r="C6" t="s">
        <v>36</v>
      </c>
      <c r="D6" t="s">
        <v>11</v>
      </c>
      <c r="E6">
        <v>5</v>
      </c>
      <c r="F6" s="4">
        <v>69</v>
      </c>
      <c r="G6">
        <v>14</v>
      </c>
      <c r="H6" t="s">
        <v>17</v>
      </c>
      <c r="I6" s="5">
        <f>E6*F6</f>
        <v>345</v>
      </c>
      <c r="J6" t="str">
        <f t="shared" si="0"/>
        <v>Low</v>
      </c>
      <c r="L6" s="7" t="s">
        <v>22</v>
      </c>
      <c r="M6" s="8">
        <v>10</v>
      </c>
    </row>
    <row r="7" spans="1:13" x14ac:dyDescent="0.35">
      <c r="A7" s="2">
        <v>46066</v>
      </c>
      <c r="B7" s="2" t="str">
        <f>TEXT(A7, "MMM")</f>
        <v>Feb</v>
      </c>
      <c r="C7" t="s">
        <v>36</v>
      </c>
      <c r="D7" t="s">
        <v>11</v>
      </c>
      <c r="E7">
        <v>6</v>
      </c>
      <c r="F7" s="4">
        <v>69</v>
      </c>
      <c r="G7">
        <v>16</v>
      </c>
      <c r="H7" t="s">
        <v>17</v>
      </c>
      <c r="I7" s="5">
        <f>E7*F7</f>
        <v>414</v>
      </c>
      <c r="J7" t="str">
        <f t="shared" si="0"/>
        <v>Low</v>
      </c>
      <c r="L7" s="7" t="s">
        <v>30</v>
      </c>
      <c r="M7" s="8">
        <v>4</v>
      </c>
    </row>
    <row r="8" spans="1:13" x14ac:dyDescent="0.35">
      <c r="A8" s="2">
        <v>46028</v>
      </c>
      <c r="B8" s="2" t="str">
        <f>TEXT(A8, "MMM")</f>
        <v>Jan</v>
      </c>
      <c r="C8" t="s">
        <v>16</v>
      </c>
      <c r="D8" t="s">
        <v>11</v>
      </c>
      <c r="E8">
        <v>6</v>
      </c>
      <c r="F8" s="4">
        <v>79</v>
      </c>
      <c r="G8">
        <v>18</v>
      </c>
      <c r="H8" t="s">
        <v>17</v>
      </c>
      <c r="I8" s="5">
        <f>E8*F8</f>
        <v>474</v>
      </c>
      <c r="J8" t="str">
        <f t="shared" si="0"/>
        <v>Low</v>
      </c>
      <c r="L8" s="7" t="s">
        <v>26</v>
      </c>
      <c r="M8" s="8">
        <v>9</v>
      </c>
    </row>
    <row r="9" spans="1:13" x14ac:dyDescent="0.35">
      <c r="A9" s="2">
        <v>46056</v>
      </c>
      <c r="B9" s="2" t="str">
        <f>TEXT(A9, "MMM")</f>
        <v>Feb</v>
      </c>
      <c r="C9" t="s">
        <v>22</v>
      </c>
      <c r="D9" t="s">
        <v>11</v>
      </c>
      <c r="E9">
        <v>5</v>
      </c>
      <c r="F9" s="4">
        <v>59</v>
      </c>
      <c r="G9">
        <v>12</v>
      </c>
      <c r="H9" t="s">
        <v>17</v>
      </c>
      <c r="I9" s="5">
        <f>E9*F9</f>
        <v>295</v>
      </c>
      <c r="J9" t="str">
        <f t="shared" si="0"/>
        <v>Low</v>
      </c>
      <c r="L9" s="7" t="s">
        <v>19</v>
      </c>
      <c r="M9" s="8">
        <v>6</v>
      </c>
    </row>
    <row r="10" spans="1:13" x14ac:dyDescent="0.35">
      <c r="A10" s="2">
        <v>46033</v>
      </c>
      <c r="B10" s="2" t="str">
        <f>TEXT(A10, "MMM")</f>
        <v>Jan</v>
      </c>
      <c r="C10" t="s">
        <v>22</v>
      </c>
      <c r="D10" t="s">
        <v>11</v>
      </c>
      <c r="E10">
        <v>5</v>
      </c>
      <c r="F10" s="4">
        <v>59</v>
      </c>
      <c r="G10">
        <v>15</v>
      </c>
      <c r="H10" t="s">
        <v>17</v>
      </c>
      <c r="I10" s="5">
        <f>E10*F10</f>
        <v>295</v>
      </c>
      <c r="J10" t="str">
        <f t="shared" si="0"/>
        <v>Low</v>
      </c>
      <c r="L10" s="7" t="s">
        <v>23</v>
      </c>
      <c r="M10" s="8">
        <v>4</v>
      </c>
    </row>
    <row r="11" spans="1:13" x14ac:dyDescent="0.35">
      <c r="A11" s="2">
        <v>46055</v>
      </c>
      <c r="B11" s="2" t="str">
        <f>TEXT(A11, "MMM")</f>
        <v>Feb</v>
      </c>
      <c r="C11" t="s">
        <v>30</v>
      </c>
      <c r="D11" t="s">
        <v>8</v>
      </c>
      <c r="E11">
        <v>2</v>
      </c>
      <c r="F11" s="4">
        <v>199</v>
      </c>
      <c r="G11">
        <v>6</v>
      </c>
      <c r="H11" t="s">
        <v>14</v>
      </c>
      <c r="I11" s="5">
        <f>E11*F11</f>
        <v>398</v>
      </c>
      <c r="J11" t="str">
        <f t="shared" si="0"/>
        <v>Low</v>
      </c>
      <c r="L11" s="7" t="s">
        <v>13</v>
      </c>
      <c r="M11" s="8">
        <v>4</v>
      </c>
    </row>
    <row r="12" spans="1:13" x14ac:dyDescent="0.35">
      <c r="A12" s="2">
        <v>46041</v>
      </c>
      <c r="B12" s="2" t="str">
        <f>TEXT(A12, "MMM")</f>
        <v>Jan</v>
      </c>
      <c r="C12" t="s">
        <v>30</v>
      </c>
      <c r="D12" t="s">
        <v>8</v>
      </c>
      <c r="E12">
        <v>2</v>
      </c>
      <c r="F12" s="4">
        <v>199</v>
      </c>
      <c r="G12">
        <v>8</v>
      </c>
      <c r="H12" t="s">
        <v>14</v>
      </c>
      <c r="I12" s="5">
        <f>E12*F12</f>
        <v>398</v>
      </c>
      <c r="J12" t="str">
        <f t="shared" si="0"/>
        <v>Low</v>
      </c>
      <c r="L12" s="7" t="s">
        <v>33</v>
      </c>
      <c r="M12" s="8">
        <v>6</v>
      </c>
    </row>
    <row r="13" spans="1:13" x14ac:dyDescent="0.35">
      <c r="A13" s="2">
        <v>46048</v>
      </c>
      <c r="B13" s="2" t="str">
        <f>TEXT(A13, "MMM")</f>
        <v>Jan</v>
      </c>
      <c r="C13" t="s">
        <v>26</v>
      </c>
      <c r="D13" t="s">
        <v>8</v>
      </c>
      <c r="E13">
        <v>3</v>
      </c>
      <c r="F13" s="4">
        <v>129</v>
      </c>
      <c r="G13">
        <v>8</v>
      </c>
      <c r="H13" t="s">
        <v>14</v>
      </c>
      <c r="I13" s="5">
        <f>E13*F13</f>
        <v>387</v>
      </c>
      <c r="J13" t="str">
        <f t="shared" si="0"/>
        <v>Low</v>
      </c>
      <c r="L13" s="7" t="s">
        <v>24</v>
      </c>
      <c r="M13" s="8">
        <v>7</v>
      </c>
    </row>
    <row r="14" spans="1:13" x14ac:dyDescent="0.35">
      <c r="A14" s="2">
        <v>46037</v>
      </c>
      <c r="B14" s="2" t="str">
        <f>TEXT(A14, "MMM")</f>
        <v>Jan</v>
      </c>
      <c r="C14" t="s">
        <v>26</v>
      </c>
      <c r="D14" t="s">
        <v>8</v>
      </c>
      <c r="E14">
        <v>3</v>
      </c>
      <c r="F14" s="4">
        <v>129</v>
      </c>
      <c r="G14">
        <v>10</v>
      </c>
      <c r="H14" t="s">
        <v>14</v>
      </c>
      <c r="I14" s="5">
        <f>E14*F14</f>
        <v>387</v>
      </c>
      <c r="J14" t="str">
        <f t="shared" si="0"/>
        <v>Low</v>
      </c>
      <c r="L14" s="7" t="s">
        <v>29</v>
      </c>
      <c r="M14" s="8">
        <v>8</v>
      </c>
    </row>
    <row r="15" spans="1:13" x14ac:dyDescent="0.35">
      <c r="A15" s="2">
        <v>46067</v>
      </c>
      <c r="B15" s="2" t="str">
        <f>TEXT(A15, "MMM")</f>
        <v>Feb</v>
      </c>
      <c r="C15" t="s">
        <v>26</v>
      </c>
      <c r="D15" t="s">
        <v>8</v>
      </c>
      <c r="E15">
        <v>3</v>
      </c>
      <c r="F15" s="4">
        <v>129</v>
      </c>
      <c r="G15">
        <v>10</v>
      </c>
      <c r="H15" t="s">
        <v>14</v>
      </c>
      <c r="I15" s="5">
        <f>E15*F15</f>
        <v>387</v>
      </c>
      <c r="J15" t="str">
        <f t="shared" si="0"/>
        <v>Low</v>
      </c>
      <c r="L15" s="7" t="s">
        <v>27</v>
      </c>
      <c r="M15" s="8">
        <v>8</v>
      </c>
    </row>
    <row r="16" spans="1:13" x14ac:dyDescent="0.35">
      <c r="A16" s="2">
        <v>46059</v>
      </c>
      <c r="B16" s="2" t="str">
        <f>TEXT(A16, "MMM")</f>
        <v>Feb</v>
      </c>
      <c r="C16" t="s">
        <v>19</v>
      </c>
      <c r="D16" t="s">
        <v>8</v>
      </c>
      <c r="E16">
        <v>3</v>
      </c>
      <c r="F16" s="4">
        <v>349</v>
      </c>
      <c r="G16">
        <v>10</v>
      </c>
      <c r="H16" t="s">
        <v>14</v>
      </c>
      <c r="I16" s="5">
        <f>E16*F16</f>
        <v>1047</v>
      </c>
      <c r="J16" t="str">
        <f t="shared" si="0"/>
        <v>Low</v>
      </c>
      <c r="L16" s="7" t="s">
        <v>21</v>
      </c>
      <c r="M16" s="8">
        <v>14</v>
      </c>
    </row>
    <row r="17" spans="1:16" x14ac:dyDescent="0.35">
      <c r="A17" s="2">
        <v>46030</v>
      </c>
      <c r="B17" s="2" t="str">
        <f>TEXT(A17, "MMM")</f>
        <v>Jan</v>
      </c>
      <c r="C17" t="s">
        <v>19</v>
      </c>
      <c r="D17" t="s">
        <v>8</v>
      </c>
      <c r="E17">
        <v>3</v>
      </c>
      <c r="F17" s="4">
        <v>349</v>
      </c>
      <c r="G17">
        <v>15</v>
      </c>
      <c r="H17" t="s">
        <v>14</v>
      </c>
      <c r="I17" s="5">
        <f>E17*F17</f>
        <v>1047</v>
      </c>
      <c r="J17" t="str">
        <f t="shared" si="0"/>
        <v>Low</v>
      </c>
      <c r="L17" s="7" t="s">
        <v>32</v>
      </c>
      <c r="M17" s="8">
        <v>11</v>
      </c>
    </row>
    <row r="18" spans="1:16" x14ac:dyDescent="0.35">
      <c r="A18" s="2">
        <v>46051</v>
      </c>
      <c r="B18" s="2" t="str">
        <f>TEXT(A18, "MMM")</f>
        <v>Jan</v>
      </c>
      <c r="C18" t="s">
        <v>23</v>
      </c>
      <c r="D18" t="s">
        <v>8</v>
      </c>
      <c r="E18">
        <v>2</v>
      </c>
      <c r="F18" s="4">
        <v>499</v>
      </c>
      <c r="G18">
        <v>6</v>
      </c>
      <c r="H18" t="s">
        <v>14</v>
      </c>
      <c r="I18" s="5">
        <f>E18*F18</f>
        <v>998</v>
      </c>
      <c r="J18" t="str">
        <f t="shared" si="0"/>
        <v>Low</v>
      </c>
      <c r="L18" s="7" t="s">
        <v>9</v>
      </c>
      <c r="M18" s="8">
        <v>3</v>
      </c>
    </row>
    <row r="19" spans="1:16" x14ac:dyDescent="0.35">
      <c r="A19" s="2">
        <v>46034</v>
      </c>
      <c r="B19" s="2" t="str">
        <f>TEXT(A19, "MMM")</f>
        <v>Jan</v>
      </c>
      <c r="C19" t="s">
        <v>23</v>
      </c>
      <c r="D19" t="s">
        <v>8</v>
      </c>
      <c r="E19">
        <v>2</v>
      </c>
      <c r="F19" s="4">
        <v>499</v>
      </c>
      <c r="G19">
        <v>32</v>
      </c>
      <c r="H19" t="s">
        <v>14</v>
      </c>
      <c r="I19" s="5">
        <f>E19*F19</f>
        <v>998</v>
      </c>
      <c r="J19" t="str">
        <f t="shared" si="0"/>
        <v>OK</v>
      </c>
      <c r="L19" s="7" t="s">
        <v>15</v>
      </c>
      <c r="M19" s="8">
        <v>12</v>
      </c>
    </row>
    <row r="20" spans="1:16" x14ac:dyDescent="0.35">
      <c r="A20" s="2">
        <v>46070</v>
      </c>
      <c r="B20" s="2" t="str">
        <f>TEXT(A20, "MMM")</f>
        <v>Feb</v>
      </c>
      <c r="C20" t="s">
        <v>13</v>
      </c>
      <c r="D20" t="s">
        <v>8</v>
      </c>
      <c r="E20">
        <v>2</v>
      </c>
      <c r="F20" s="4">
        <v>599</v>
      </c>
      <c r="G20">
        <v>6</v>
      </c>
      <c r="H20" t="s">
        <v>14</v>
      </c>
      <c r="I20" s="5">
        <f>E20*F20</f>
        <v>1198</v>
      </c>
      <c r="J20" t="str">
        <f t="shared" si="0"/>
        <v>Low</v>
      </c>
      <c r="L20" s="7" t="s">
        <v>7</v>
      </c>
      <c r="M20" s="8">
        <v>5</v>
      </c>
    </row>
    <row r="21" spans="1:16" x14ac:dyDescent="0.35">
      <c r="A21" s="2">
        <v>46026</v>
      </c>
      <c r="B21" s="2" t="str">
        <f>TEXT(A21, "MMM")</f>
        <v>Jan</v>
      </c>
      <c r="C21" t="s">
        <v>13</v>
      </c>
      <c r="D21" t="s">
        <v>8</v>
      </c>
      <c r="E21">
        <v>2</v>
      </c>
      <c r="F21" s="4">
        <v>599</v>
      </c>
      <c r="G21">
        <v>10</v>
      </c>
      <c r="H21" t="s">
        <v>14</v>
      </c>
      <c r="I21" s="5">
        <f>E21*F21</f>
        <v>1198</v>
      </c>
      <c r="J21" t="str">
        <f t="shared" si="0"/>
        <v>Low</v>
      </c>
      <c r="L21" s="7" t="s">
        <v>18</v>
      </c>
      <c r="M21" s="8">
        <v>14</v>
      </c>
    </row>
    <row r="22" spans="1:16" x14ac:dyDescent="0.35">
      <c r="A22" s="2">
        <v>46064</v>
      </c>
      <c r="B22" s="2" t="str">
        <f>TEXT(A22, "MMM")</f>
        <v>Feb</v>
      </c>
      <c r="C22" t="s">
        <v>33</v>
      </c>
      <c r="D22" t="s">
        <v>8</v>
      </c>
      <c r="E22">
        <v>2</v>
      </c>
      <c r="F22" s="4">
        <v>399</v>
      </c>
      <c r="G22">
        <v>8</v>
      </c>
      <c r="H22" t="s">
        <v>14</v>
      </c>
      <c r="I22" s="5">
        <f>E22*F22</f>
        <v>798</v>
      </c>
      <c r="J22" t="str">
        <f t="shared" si="0"/>
        <v>Low</v>
      </c>
      <c r="L22" s="7" t="s">
        <v>25</v>
      </c>
      <c r="M22" s="8">
        <v>11</v>
      </c>
    </row>
    <row r="23" spans="1:16" x14ac:dyDescent="0.35">
      <c r="A23" s="2">
        <v>46044</v>
      </c>
      <c r="B23" s="2" t="str">
        <f>TEXT(A23, "MMM")</f>
        <v>Jan</v>
      </c>
      <c r="C23" t="s">
        <v>33</v>
      </c>
      <c r="D23" t="s">
        <v>8</v>
      </c>
      <c r="E23">
        <v>4</v>
      </c>
      <c r="F23" s="4">
        <v>399</v>
      </c>
      <c r="G23">
        <v>10</v>
      </c>
      <c r="H23" t="s">
        <v>14</v>
      </c>
      <c r="I23" s="5">
        <f>E23*F23</f>
        <v>1596</v>
      </c>
      <c r="J23" t="str">
        <f t="shared" si="0"/>
        <v>Low</v>
      </c>
      <c r="L23" s="7" t="s">
        <v>35</v>
      </c>
      <c r="M23" s="8">
        <v>5</v>
      </c>
    </row>
    <row r="24" spans="1:16" x14ac:dyDescent="0.35">
      <c r="A24" s="2">
        <v>46054</v>
      </c>
      <c r="B24" s="2" t="str">
        <f>TEXT(A24, "MMM")</f>
        <v>Feb</v>
      </c>
      <c r="C24" t="s">
        <v>24</v>
      </c>
      <c r="D24" t="s">
        <v>8</v>
      </c>
      <c r="E24">
        <v>3</v>
      </c>
      <c r="F24" s="4">
        <v>179</v>
      </c>
      <c r="G24">
        <v>10</v>
      </c>
      <c r="H24" t="s">
        <v>39</v>
      </c>
      <c r="I24" s="5">
        <f>E24*F24</f>
        <v>537</v>
      </c>
      <c r="J24" t="str">
        <f t="shared" si="0"/>
        <v>Low</v>
      </c>
      <c r="L24" s="7" t="s">
        <v>10</v>
      </c>
      <c r="M24" s="8">
        <v>13</v>
      </c>
    </row>
    <row r="25" spans="1:16" x14ac:dyDescent="0.35">
      <c r="A25" s="2">
        <v>46035</v>
      </c>
      <c r="B25" s="2" t="str">
        <f>TEXT(A25, "MMM")</f>
        <v>Jan</v>
      </c>
      <c r="C25" t="s">
        <v>24</v>
      </c>
      <c r="D25" t="s">
        <v>8</v>
      </c>
      <c r="E25">
        <v>4</v>
      </c>
      <c r="F25" s="4">
        <v>179</v>
      </c>
      <c r="G25">
        <v>14</v>
      </c>
      <c r="H25" t="s">
        <v>39</v>
      </c>
      <c r="I25" s="5">
        <f>E25*F25</f>
        <v>716</v>
      </c>
      <c r="J25" t="str">
        <f t="shared" si="0"/>
        <v>Low</v>
      </c>
      <c r="L25" s="7" t="s">
        <v>20</v>
      </c>
      <c r="M25" s="8">
        <v>10</v>
      </c>
    </row>
    <row r="26" spans="1:16" x14ac:dyDescent="0.35">
      <c r="A26" s="2">
        <v>46060</v>
      </c>
      <c r="B26" s="2" t="str">
        <f>TEXT(A26, "MMM")</f>
        <v>Feb</v>
      </c>
      <c r="C26" t="s">
        <v>29</v>
      </c>
      <c r="D26" t="s">
        <v>8</v>
      </c>
      <c r="E26">
        <v>5</v>
      </c>
      <c r="F26" s="4">
        <v>79</v>
      </c>
      <c r="G26">
        <v>14</v>
      </c>
      <c r="H26" t="s">
        <v>39</v>
      </c>
      <c r="I26" s="5">
        <f>E26*F26</f>
        <v>395</v>
      </c>
      <c r="J26" t="str">
        <f t="shared" si="0"/>
        <v>Low</v>
      </c>
      <c r="L26" s="7" t="s">
        <v>31</v>
      </c>
      <c r="M26" s="8">
        <v>9</v>
      </c>
    </row>
    <row r="27" spans="1:16" x14ac:dyDescent="0.35">
      <c r="A27" s="2">
        <v>46040</v>
      </c>
      <c r="B27" s="2" t="str">
        <f>TEXT(A27, "MMM")</f>
        <v>Jan</v>
      </c>
      <c r="C27" t="s">
        <v>29</v>
      </c>
      <c r="D27" t="s">
        <v>8</v>
      </c>
      <c r="E27">
        <v>3</v>
      </c>
      <c r="F27" s="4">
        <v>79</v>
      </c>
      <c r="G27">
        <v>18</v>
      </c>
      <c r="H27" t="s">
        <v>39</v>
      </c>
      <c r="I27" s="5">
        <f>E27*F27</f>
        <v>237</v>
      </c>
      <c r="J27" t="str">
        <f t="shared" si="0"/>
        <v>Low</v>
      </c>
      <c r="L27" s="7" t="s">
        <v>42</v>
      </c>
      <c r="M27" s="8">
        <v>210</v>
      </c>
    </row>
    <row r="28" spans="1:16" x14ac:dyDescent="0.35">
      <c r="A28" s="2">
        <v>46038</v>
      </c>
      <c r="B28" s="2" t="str">
        <f>TEXT(A28, "MMM")</f>
        <v>Jan</v>
      </c>
      <c r="C28" t="s">
        <v>27</v>
      </c>
      <c r="D28" t="s">
        <v>8</v>
      </c>
      <c r="E28">
        <v>4</v>
      </c>
      <c r="F28" s="4">
        <v>149</v>
      </c>
      <c r="G28">
        <v>15</v>
      </c>
      <c r="H28" t="s">
        <v>39</v>
      </c>
      <c r="I28" s="5">
        <f>E28*F28</f>
        <v>596</v>
      </c>
      <c r="J28" t="str">
        <f t="shared" si="0"/>
        <v>Low</v>
      </c>
    </row>
    <row r="29" spans="1:16" x14ac:dyDescent="0.35">
      <c r="A29" s="2">
        <v>46057</v>
      </c>
      <c r="B29" s="2" t="str">
        <f>TEXT(A29, "MMM")</f>
        <v>Feb</v>
      </c>
      <c r="C29" t="s">
        <v>27</v>
      </c>
      <c r="D29" t="s">
        <v>8</v>
      </c>
      <c r="E29">
        <v>4</v>
      </c>
      <c r="F29" s="4">
        <v>149</v>
      </c>
      <c r="G29">
        <v>15</v>
      </c>
      <c r="H29" t="s">
        <v>39</v>
      </c>
      <c r="I29" s="5">
        <f>E29*F29</f>
        <v>596</v>
      </c>
      <c r="J29" t="str">
        <f t="shared" si="0"/>
        <v>Low</v>
      </c>
    </row>
    <row r="30" spans="1:16" x14ac:dyDescent="0.35">
      <c r="A30" s="2">
        <v>46052</v>
      </c>
      <c r="B30" s="2" t="str">
        <f>TEXT(A30, "MMM")</f>
        <v>Jan</v>
      </c>
      <c r="C30" t="s">
        <v>21</v>
      </c>
      <c r="D30" t="s">
        <v>8</v>
      </c>
      <c r="E30">
        <v>4</v>
      </c>
      <c r="F30" s="4">
        <v>69</v>
      </c>
      <c r="G30">
        <v>12</v>
      </c>
      <c r="H30" t="s">
        <v>39</v>
      </c>
      <c r="I30" s="5">
        <f>E30*F30</f>
        <v>276</v>
      </c>
      <c r="J30" t="str">
        <f t="shared" si="0"/>
        <v>Low</v>
      </c>
    </row>
    <row r="31" spans="1:16" x14ac:dyDescent="0.35">
      <c r="A31" s="2">
        <v>46032</v>
      </c>
      <c r="B31" s="2" t="str">
        <f>TEXT(A31, "MMM")</f>
        <v>Jan</v>
      </c>
      <c r="C31" t="s">
        <v>21</v>
      </c>
      <c r="D31" t="s">
        <v>8</v>
      </c>
      <c r="E31">
        <v>6</v>
      </c>
      <c r="F31" s="4">
        <v>69</v>
      </c>
      <c r="G31">
        <v>18</v>
      </c>
      <c r="H31" t="s">
        <v>39</v>
      </c>
      <c r="I31" s="5">
        <f>E31*F31</f>
        <v>414</v>
      </c>
      <c r="J31" t="str">
        <f t="shared" si="0"/>
        <v>Low</v>
      </c>
    </row>
    <row r="32" spans="1:16" x14ac:dyDescent="0.35">
      <c r="A32" s="2">
        <v>46072</v>
      </c>
      <c r="B32" s="2" t="str">
        <f>TEXT(A32, "MMM")</f>
        <v>Feb</v>
      </c>
      <c r="C32" t="s">
        <v>21</v>
      </c>
      <c r="D32" t="s">
        <v>8</v>
      </c>
      <c r="E32">
        <v>4</v>
      </c>
      <c r="F32" s="4">
        <v>69</v>
      </c>
      <c r="G32">
        <v>18</v>
      </c>
      <c r="H32" t="s">
        <v>39</v>
      </c>
      <c r="I32" s="5">
        <f>E32*F32</f>
        <v>276</v>
      </c>
      <c r="J32" t="str">
        <f t="shared" si="0"/>
        <v>Low</v>
      </c>
      <c r="L32" s="6" t="s">
        <v>41</v>
      </c>
      <c r="M32" t="s">
        <v>43</v>
      </c>
      <c r="O32" s="6" t="s">
        <v>41</v>
      </c>
      <c r="P32" t="s">
        <v>44</v>
      </c>
    </row>
    <row r="33" spans="1:16" x14ac:dyDescent="0.35">
      <c r="A33" s="2">
        <v>46062</v>
      </c>
      <c r="B33" s="2" t="str">
        <f>TEXT(A33, "MMM")</f>
        <v>Feb</v>
      </c>
      <c r="C33" t="s">
        <v>32</v>
      </c>
      <c r="D33" t="s">
        <v>8</v>
      </c>
      <c r="E33">
        <v>6</v>
      </c>
      <c r="F33" s="4">
        <v>39</v>
      </c>
      <c r="G33">
        <v>20</v>
      </c>
      <c r="H33" t="s">
        <v>39</v>
      </c>
      <c r="I33" s="5">
        <f>E33*F33</f>
        <v>234</v>
      </c>
      <c r="J33" t="str">
        <f t="shared" si="0"/>
        <v>OK</v>
      </c>
      <c r="L33" s="7" t="s">
        <v>8</v>
      </c>
      <c r="M33" s="5">
        <v>20655</v>
      </c>
      <c r="O33" s="7" t="s">
        <v>8</v>
      </c>
      <c r="P33">
        <v>115</v>
      </c>
    </row>
    <row r="34" spans="1:16" x14ac:dyDescent="0.35">
      <c r="A34" s="2">
        <v>46043</v>
      </c>
      <c r="B34" s="2" t="str">
        <f>TEXT(A34, "MMM")</f>
        <v>Jan</v>
      </c>
      <c r="C34" t="s">
        <v>32</v>
      </c>
      <c r="D34" t="s">
        <v>8</v>
      </c>
      <c r="E34">
        <v>5</v>
      </c>
      <c r="F34" s="4">
        <v>39</v>
      </c>
      <c r="G34">
        <v>22</v>
      </c>
      <c r="H34" t="s">
        <v>39</v>
      </c>
      <c r="I34" s="5">
        <f>E34*F34</f>
        <v>195</v>
      </c>
      <c r="J34" t="str">
        <f t="shared" ref="J34:J52" si="1">IF(G34&lt;20,"Low","OK")</f>
        <v>OK</v>
      </c>
      <c r="L34" s="7" t="s">
        <v>11</v>
      </c>
      <c r="M34" s="5">
        <v>6175</v>
      </c>
      <c r="O34" s="7" t="s">
        <v>11</v>
      </c>
      <c r="P34">
        <v>95</v>
      </c>
    </row>
    <row r="35" spans="1:16" x14ac:dyDescent="0.35">
      <c r="A35" s="2">
        <v>46024</v>
      </c>
      <c r="B35" s="2" t="str">
        <f>TEXT(A35, "MMM")</f>
        <v>Jan</v>
      </c>
      <c r="C35" t="s">
        <v>9</v>
      </c>
      <c r="D35" t="s">
        <v>8</v>
      </c>
      <c r="E35">
        <v>3</v>
      </c>
      <c r="F35" s="4">
        <v>39</v>
      </c>
      <c r="G35">
        <v>15</v>
      </c>
      <c r="H35" t="s">
        <v>39</v>
      </c>
      <c r="I35" s="5">
        <f>E35*F35</f>
        <v>117</v>
      </c>
      <c r="J35" t="str">
        <f t="shared" si="1"/>
        <v>Low</v>
      </c>
      <c r="L35" s="7" t="s">
        <v>42</v>
      </c>
      <c r="M35" s="5">
        <v>26830</v>
      </c>
      <c r="O35" s="7" t="s">
        <v>42</v>
      </c>
      <c r="P35">
        <v>210</v>
      </c>
    </row>
    <row r="36" spans="1:16" x14ac:dyDescent="0.35">
      <c r="A36" s="2">
        <v>46027</v>
      </c>
      <c r="B36" s="2" t="str">
        <f>TEXT(A36, "MMM")</f>
        <v>Jan</v>
      </c>
      <c r="C36" t="s">
        <v>15</v>
      </c>
      <c r="D36" t="s">
        <v>8</v>
      </c>
      <c r="E36">
        <v>4</v>
      </c>
      <c r="F36" s="4">
        <v>249</v>
      </c>
      <c r="G36">
        <v>12</v>
      </c>
      <c r="H36" t="s">
        <v>39</v>
      </c>
      <c r="I36" s="5">
        <f>E36*F36</f>
        <v>996</v>
      </c>
      <c r="J36" t="str">
        <f t="shared" si="1"/>
        <v>Low</v>
      </c>
    </row>
    <row r="37" spans="1:16" x14ac:dyDescent="0.35">
      <c r="A37" s="2">
        <v>46065</v>
      </c>
      <c r="B37" s="2" t="str">
        <f>TEXT(A37, "MMM")</f>
        <v>Feb</v>
      </c>
      <c r="C37" t="s">
        <v>15</v>
      </c>
      <c r="D37" t="s">
        <v>8</v>
      </c>
      <c r="E37">
        <v>5</v>
      </c>
      <c r="F37" s="4">
        <v>249</v>
      </c>
      <c r="G37">
        <v>12</v>
      </c>
      <c r="H37" t="s">
        <v>39</v>
      </c>
      <c r="I37" s="5">
        <f>E37*F37</f>
        <v>1245</v>
      </c>
      <c r="J37" t="str">
        <f t="shared" si="1"/>
        <v>Low</v>
      </c>
    </row>
    <row r="38" spans="1:16" x14ac:dyDescent="0.35">
      <c r="A38" s="2">
        <v>46046</v>
      </c>
      <c r="B38" s="2" t="str">
        <f>TEXT(A38, "MMM")</f>
        <v>Jan</v>
      </c>
      <c r="C38" t="s">
        <v>15</v>
      </c>
      <c r="D38" t="s">
        <v>8</v>
      </c>
      <c r="E38">
        <v>3</v>
      </c>
      <c r="F38" s="4">
        <v>249</v>
      </c>
      <c r="G38">
        <v>14</v>
      </c>
      <c r="H38" t="s">
        <v>39</v>
      </c>
      <c r="I38" s="5">
        <f>E38*F38</f>
        <v>747</v>
      </c>
      <c r="J38" t="str">
        <f t="shared" si="1"/>
        <v>Low</v>
      </c>
    </row>
    <row r="39" spans="1:16" x14ac:dyDescent="0.35">
      <c r="A39" s="2">
        <v>46023</v>
      </c>
      <c r="B39" s="2" t="str">
        <f>TEXT(A39, "MMM")</f>
        <v>Jan</v>
      </c>
      <c r="C39" t="s">
        <v>7</v>
      </c>
      <c r="D39" t="s">
        <v>8</v>
      </c>
      <c r="E39">
        <v>5</v>
      </c>
      <c r="F39" s="4">
        <v>199</v>
      </c>
      <c r="G39">
        <v>20</v>
      </c>
      <c r="H39" t="s">
        <v>39</v>
      </c>
      <c r="I39" s="5">
        <f>E39*F39</f>
        <v>995</v>
      </c>
      <c r="J39" t="str">
        <f t="shared" si="1"/>
        <v>OK</v>
      </c>
    </row>
    <row r="40" spans="1:16" x14ac:dyDescent="0.35">
      <c r="A40" s="2">
        <v>46069</v>
      </c>
      <c r="B40" s="2" t="str">
        <f>TEXT(A40, "MMM")</f>
        <v>Feb</v>
      </c>
      <c r="C40" t="s">
        <v>18</v>
      </c>
      <c r="D40" t="s">
        <v>8</v>
      </c>
      <c r="E40">
        <v>5</v>
      </c>
      <c r="F40" s="4">
        <v>89</v>
      </c>
      <c r="G40">
        <v>15</v>
      </c>
      <c r="H40" t="s">
        <v>39</v>
      </c>
      <c r="I40" s="5">
        <f>E40*F40</f>
        <v>445</v>
      </c>
      <c r="J40" t="str">
        <f t="shared" si="1"/>
        <v>Low</v>
      </c>
    </row>
    <row r="41" spans="1:16" x14ac:dyDescent="0.35">
      <c r="A41" s="2">
        <v>46049</v>
      </c>
      <c r="B41" s="2" t="str">
        <f>TEXT(A41, "MMM")</f>
        <v>Jan</v>
      </c>
      <c r="C41" t="s">
        <v>18</v>
      </c>
      <c r="D41" t="s">
        <v>8</v>
      </c>
      <c r="E41">
        <v>4</v>
      </c>
      <c r="F41" s="4">
        <v>89</v>
      </c>
      <c r="G41">
        <v>20</v>
      </c>
      <c r="H41" t="s">
        <v>39</v>
      </c>
      <c r="I41" s="5">
        <f>E41*F41</f>
        <v>356</v>
      </c>
      <c r="J41" t="str">
        <f t="shared" si="1"/>
        <v>OK</v>
      </c>
    </row>
    <row r="42" spans="1:16" x14ac:dyDescent="0.35">
      <c r="A42" s="2">
        <v>46029</v>
      </c>
      <c r="B42" s="2" t="str">
        <f>TEXT(A42, "MMM")</f>
        <v>Jan</v>
      </c>
      <c r="C42" t="s">
        <v>18</v>
      </c>
      <c r="D42" t="s">
        <v>8</v>
      </c>
      <c r="E42">
        <v>5</v>
      </c>
      <c r="F42" s="4">
        <v>89</v>
      </c>
      <c r="G42">
        <v>22</v>
      </c>
      <c r="H42" t="s">
        <v>39</v>
      </c>
      <c r="I42" s="5">
        <f>E42*F42</f>
        <v>445</v>
      </c>
      <c r="J42" t="str">
        <f t="shared" si="1"/>
        <v>OK</v>
      </c>
    </row>
    <row r="43" spans="1:16" x14ac:dyDescent="0.35">
      <c r="A43" s="2">
        <v>46068</v>
      </c>
      <c r="B43" s="2" t="str">
        <f>TEXT(A43, "MMM")</f>
        <v>Feb</v>
      </c>
      <c r="C43" t="s">
        <v>25</v>
      </c>
      <c r="D43" t="s">
        <v>11</v>
      </c>
      <c r="E43">
        <v>4</v>
      </c>
      <c r="F43" s="4">
        <v>69</v>
      </c>
      <c r="G43">
        <v>14</v>
      </c>
      <c r="H43" t="s">
        <v>12</v>
      </c>
      <c r="I43" s="5">
        <f>E43*F43</f>
        <v>276</v>
      </c>
      <c r="J43" t="str">
        <f t="shared" si="1"/>
        <v>Low</v>
      </c>
    </row>
    <row r="44" spans="1:16" x14ac:dyDescent="0.35">
      <c r="A44" s="2">
        <v>46036</v>
      </c>
      <c r="B44" s="2" t="str">
        <f>TEXT(A44, "MMM")</f>
        <v>Jan</v>
      </c>
      <c r="C44" t="s">
        <v>25</v>
      </c>
      <c r="D44" t="s">
        <v>11</v>
      </c>
      <c r="E44">
        <v>7</v>
      </c>
      <c r="F44" s="4">
        <v>69</v>
      </c>
      <c r="G44">
        <v>20</v>
      </c>
      <c r="H44" t="s">
        <v>12</v>
      </c>
      <c r="I44" s="5">
        <f>E44*F44</f>
        <v>483</v>
      </c>
      <c r="J44" t="str">
        <f t="shared" si="1"/>
        <v>OK</v>
      </c>
    </row>
    <row r="45" spans="1:16" x14ac:dyDescent="0.35">
      <c r="A45" s="2">
        <v>46047</v>
      </c>
      <c r="B45" s="2" t="str">
        <f>TEXT(A45, "MMM")</f>
        <v>Jan</v>
      </c>
      <c r="C45" t="s">
        <v>35</v>
      </c>
      <c r="D45" t="s">
        <v>11</v>
      </c>
      <c r="E45">
        <v>2</v>
      </c>
      <c r="F45" s="4">
        <v>79</v>
      </c>
      <c r="G45">
        <v>12</v>
      </c>
      <c r="H45" t="s">
        <v>12</v>
      </c>
      <c r="I45" s="5">
        <f>E45*F45</f>
        <v>158</v>
      </c>
      <c r="J45" t="str">
        <f t="shared" si="1"/>
        <v>Low</v>
      </c>
    </row>
    <row r="46" spans="1:16" x14ac:dyDescent="0.35">
      <c r="A46" s="2">
        <v>46071</v>
      </c>
      <c r="B46" s="2" t="str">
        <f>TEXT(A46, "MMM")</f>
        <v>Feb</v>
      </c>
      <c r="C46" t="s">
        <v>35</v>
      </c>
      <c r="D46" t="s">
        <v>11</v>
      </c>
      <c r="E46">
        <v>3</v>
      </c>
      <c r="F46" s="4">
        <v>79</v>
      </c>
      <c r="G46">
        <v>12</v>
      </c>
      <c r="H46" t="s">
        <v>12</v>
      </c>
      <c r="I46" s="5">
        <f>E46*F46</f>
        <v>237</v>
      </c>
      <c r="J46" t="str">
        <f t="shared" si="1"/>
        <v>Low</v>
      </c>
    </row>
    <row r="47" spans="1:16" x14ac:dyDescent="0.35">
      <c r="A47" s="2">
        <v>46058</v>
      </c>
      <c r="B47" s="2" t="str">
        <f>TEXT(A47, "MMM")</f>
        <v>Feb</v>
      </c>
      <c r="C47" t="s">
        <v>10</v>
      </c>
      <c r="D47" t="s">
        <v>11</v>
      </c>
      <c r="E47">
        <v>6</v>
      </c>
      <c r="F47" s="4">
        <v>49</v>
      </c>
      <c r="G47">
        <v>18</v>
      </c>
      <c r="H47" t="s">
        <v>12</v>
      </c>
      <c r="I47" s="5">
        <f>E47*F47</f>
        <v>294</v>
      </c>
      <c r="J47" t="str">
        <f t="shared" si="1"/>
        <v>Low</v>
      </c>
    </row>
    <row r="48" spans="1:16" x14ac:dyDescent="0.35">
      <c r="A48" s="2">
        <v>46025</v>
      </c>
      <c r="B48" s="2" t="str">
        <f>TEXT(A48, "MMM")</f>
        <v>Jan</v>
      </c>
      <c r="C48" t="s">
        <v>10</v>
      </c>
      <c r="D48" t="s">
        <v>11</v>
      </c>
      <c r="E48">
        <v>7</v>
      </c>
      <c r="F48" s="4">
        <v>49</v>
      </c>
      <c r="G48">
        <v>25</v>
      </c>
      <c r="H48" t="s">
        <v>12</v>
      </c>
      <c r="I48" s="5">
        <f>E48*F48</f>
        <v>343</v>
      </c>
      <c r="J48" t="str">
        <f t="shared" si="1"/>
        <v>OK</v>
      </c>
    </row>
    <row r="49" spans="1:10" x14ac:dyDescent="0.35">
      <c r="A49" s="2">
        <v>46053</v>
      </c>
      <c r="B49" s="2" t="str">
        <f>TEXT(A49, "MMM")</f>
        <v>Jan</v>
      </c>
      <c r="C49" t="s">
        <v>20</v>
      </c>
      <c r="D49" t="s">
        <v>11</v>
      </c>
      <c r="E49">
        <v>6</v>
      </c>
      <c r="F49" s="4">
        <v>29</v>
      </c>
      <c r="G49">
        <v>15</v>
      </c>
      <c r="H49" t="s">
        <v>12</v>
      </c>
      <c r="I49" s="5">
        <f>E49*F49</f>
        <v>174</v>
      </c>
      <c r="J49" t="str">
        <f t="shared" si="1"/>
        <v>Low</v>
      </c>
    </row>
    <row r="50" spans="1:10" x14ac:dyDescent="0.35">
      <c r="A50" s="2">
        <v>46031</v>
      </c>
      <c r="B50" s="2" t="str">
        <f>TEXT(A50, "MMM")</f>
        <v>Jan</v>
      </c>
      <c r="C50" t="s">
        <v>20</v>
      </c>
      <c r="D50" t="s">
        <v>11</v>
      </c>
      <c r="E50">
        <v>4</v>
      </c>
      <c r="F50" s="4">
        <v>29</v>
      </c>
      <c r="G50">
        <v>20</v>
      </c>
      <c r="H50" t="s">
        <v>12</v>
      </c>
      <c r="I50" s="5">
        <f>E50*F50</f>
        <v>116</v>
      </c>
      <c r="J50" t="str">
        <f t="shared" si="1"/>
        <v>OK</v>
      </c>
    </row>
    <row r="51" spans="1:10" x14ac:dyDescent="0.35">
      <c r="A51" s="2">
        <v>46063</v>
      </c>
      <c r="B51" s="2" t="str">
        <f>TEXT(A51, "MMM")</f>
        <v>Feb</v>
      </c>
      <c r="C51" t="s">
        <v>31</v>
      </c>
      <c r="D51" t="s">
        <v>11</v>
      </c>
      <c r="E51">
        <v>3</v>
      </c>
      <c r="F51" s="4">
        <v>99</v>
      </c>
      <c r="G51">
        <v>18</v>
      </c>
      <c r="H51" t="s">
        <v>12</v>
      </c>
      <c r="I51" s="5">
        <f>E51*F51</f>
        <v>297</v>
      </c>
      <c r="J51" t="str">
        <f t="shared" si="1"/>
        <v>Low</v>
      </c>
    </row>
    <row r="52" spans="1:10" x14ac:dyDescent="0.35">
      <c r="A52" s="2">
        <v>46042</v>
      </c>
      <c r="B52" s="2" t="str">
        <f>TEXT(A52, "MMM")</f>
        <v>Jan</v>
      </c>
      <c r="C52" t="s">
        <v>31</v>
      </c>
      <c r="D52" t="s">
        <v>11</v>
      </c>
      <c r="E52">
        <v>6</v>
      </c>
      <c r="F52" s="4">
        <v>99</v>
      </c>
      <c r="G52">
        <v>20</v>
      </c>
      <c r="H52" t="s">
        <v>12</v>
      </c>
      <c r="I52" s="5">
        <f>E52*F52</f>
        <v>594</v>
      </c>
      <c r="J52" t="str">
        <f t="shared" si="1"/>
        <v>OK</v>
      </c>
    </row>
    <row r="92" spans="6:6" x14ac:dyDescent="0.35">
      <c r="F92"/>
    </row>
    <row r="93" spans="6:6" x14ac:dyDescent="0.35">
      <c r="F93"/>
    </row>
    <row r="94" spans="6:6" x14ac:dyDescent="0.35">
      <c r="F94"/>
    </row>
    <row r="95" spans="6:6" x14ac:dyDescent="0.35">
      <c r="F95"/>
    </row>
    <row r="96" spans="6:6" x14ac:dyDescent="0.35">
      <c r="F96"/>
    </row>
    <row r="97" spans="6:6" x14ac:dyDescent="0.35">
      <c r="F97"/>
    </row>
    <row r="98" spans="6:6" x14ac:dyDescent="0.35">
      <c r="F98"/>
    </row>
    <row r="99" spans="6:6" x14ac:dyDescent="0.35">
      <c r="F99"/>
    </row>
    <row r="100" spans="6:6" x14ac:dyDescent="0.35">
      <c r="F100"/>
    </row>
    <row r="101" spans="6:6" x14ac:dyDescent="0.35">
      <c r="F101"/>
    </row>
    <row r="102" spans="6:6" x14ac:dyDescent="0.35">
      <c r="F102"/>
    </row>
    <row r="103" spans="6:6" x14ac:dyDescent="0.35">
      <c r="F103"/>
    </row>
    <row r="104" spans="6:6" x14ac:dyDescent="0.35">
      <c r="F104"/>
    </row>
    <row r="105" spans="6:6" x14ac:dyDescent="0.35">
      <c r="F105"/>
    </row>
    <row r="106" spans="6:6" x14ac:dyDescent="0.35">
      <c r="F106"/>
    </row>
  </sheetData>
  <pageMargins left="0.7" right="0.7" top="0.75" bottom="0.75" header="0.3" footer="0.3"/>
  <pageSetup paperSize="9" orientation="portrait" r:id="rId4"/>
  <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5B4D4-2FDE-4923-89EC-7823E3424A3F}">
  <dimension ref="A1"/>
  <sheetViews>
    <sheetView tabSelected="1" zoomScale="98" zoomScaleNormal="98" workbookViewId="0">
      <selection activeCell="O6" sqref="O6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Hammaad Khan</cp:lastModifiedBy>
  <cp:revision/>
  <cp:lastPrinted>2026-03-25T00:28:58Z</cp:lastPrinted>
  <dcterms:created xsi:type="dcterms:W3CDTF">2026-03-23T03:59:23Z</dcterms:created>
  <dcterms:modified xsi:type="dcterms:W3CDTF">2026-03-28T00:41:51Z</dcterms:modified>
  <cp:category/>
  <cp:contentStatus/>
</cp:coreProperties>
</file>